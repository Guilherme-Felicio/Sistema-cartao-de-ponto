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feli\Desktop\cartãoDePonto\"/>
    </mc:Choice>
  </mc:AlternateContent>
  <xr:revisionPtr revIDLastSave="0" documentId="13_ncr:1_{4786946B-4E9C-4507-BF0D-C22B04D039BE}" xr6:coauthVersionLast="46" xr6:coauthVersionMax="46" xr10:uidLastSave="{00000000-0000-0000-0000-000000000000}"/>
  <bookViews>
    <workbookView xWindow="-120" yWindow="-120" windowWidth="20730" windowHeight="11160" xr2:uid="{B4A0CF95-5387-4B9D-A6EC-17CAAC5ECB36}"/>
  </bookViews>
  <sheets>
    <sheet name="Fevereiro" sheetId="1" r:id="rId1"/>
    <sheet name="configurações" sheetId="2" r:id="rId2"/>
  </sheets>
  <functionGroups builtInGroupCount="19"/>
  <definedNames>
    <definedName name="EntradaServiço">configurações!$B$12</definedName>
    <definedName name="opçôesFeriado">configurações!$A$4:$A$5</definedName>
    <definedName name="saída_normal">configurações!$B$14</definedName>
    <definedName name="saída_sexta">configurações!$B$13</definedName>
    <definedName name="tempo_de_almoço">configurações!$B$15</definedName>
    <definedName name="zero">configurações!$B$11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I6" i="1"/>
  <c r="H7" i="1"/>
  <c r="I7" i="1" s="1"/>
  <c r="G7" i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F7" i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E7" i="1"/>
  <c r="E8" i="1" s="1"/>
  <c r="E9" i="1" s="1"/>
  <c r="E10" i="1" s="1"/>
  <c r="E11" i="1" s="1"/>
  <c r="E12" i="1" s="1"/>
  <c r="A6" i="1"/>
  <c r="B6" i="1" s="1"/>
  <c r="H8" i="1" l="1"/>
  <c r="I8" i="1" s="1"/>
  <c r="E13" i="1"/>
  <c r="A7" i="1"/>
  <c r="B7" i="1" s="1"/>
  <c r="H9" i="1" l="1"/>
  <c r="I9" i="1" s="1"/>
  <c r="E14" i="1"/>
  <c r="A8" i="1"/>
  <c r="H10" i="1" l="1"/>
  <c r="I10" i="1" s="1"/>
  <c r="E15" i="1"/>
  <c r="A9" i="1"/>
  <c r="B8" i="1"/>
  <c r="H11" i="1" l="1"/>
  <c r="I11" i="1" s="1"/>
  <c r="E16" i="1"/>
  <c r="A10" i="1"/>
  <c r="B9" i="1"/>
  <c r="H12" i="1" l="1"/>
  <c r="I12" i="1" s="1"/>
  <c r="E17" i="1"/>
  <c r="A11" i="1"/>
  <c r="B10" i="1"/>
  <c r="H13" i="1" l="1"/>
  <c r="I13" i="1" s="1"/>
  <c r="E18" i="1"/>
  <c r="A12" i="1"/>
  <c r="B11" i="1"/>
  <c r="H14" i="1" l="1"/>
  <c r="I14" i="1" s="1"/>
  <c r="E19" i="1"/>
  <c r="A13" i="1"/>
  <c r="B12" i="1"/>
  <c r="H15" i="1" l="1"/>
  <c r="I15" i="1" s="1"/>
  <c r="E20" i="1"/>
  <c r="A14" i="1"/>
  <c r="B13" i="1"/>
  <c r="H16" i="1" l="1"/>
  <c r="I16" i="1" s="1"/>
  <c r="E21" i="1"/>
  <c r="A15" i="1"/>
  <c r="B14" i="1"/>
  <c r="H17" i="1" l="1"/>
  <c r="I17" i="1" s="1"/>
  <c r="E22" i="1"/>
  <c r="A16" i="1"/>
  <c r="B15" i="1"/>
  <c r="H18" i="1" l="1"/>
  <c r="I18" i="1" s="1"/>
  <c r="E23" i="1"/>
  <c r="A17" i="1"/>
  <c r="B16" i="1"/>
  <c r="H19" i="1" l="1"/>
  <c r="I19" i="1" s="1"/>
  <c r="E24" i="1"/>
  <c r="A18" i="1"/>
  <c r="B17" i="1"/>
  <c r="H20" i="1" l="1"/>
  <c r="I20" i="1" s="1"/>
  <c r="E25" i="1"/>
  <c r="A19" i="1"/>
  <c r="B18" i="1"/>
  <c r="H21" i="1" l="1"/>
  <c r="I21" i="1" s="1"/>
  <c r="E26" i="1"/>
  <c r="A20" i="1"/>
  <c r="B19" i="1"/>
  <c r="H22" i="1" l="1"/>
  <c r="I22" i="1" s="1"/>
  <c r="E27" i="1"/>
  <c r="A21" i="1"/>
  <c r="B20" i="1"/>
  <c r="H23" i="1" l="1"/>
  <c r="I23" i="1" s="1"/>
  <c r="E28" i="1"/>
  <c r="A22" i="1"/>
  <c r="B21" i="1"/>
  <c r="H24" i="1" l="1"/>
  <c r="I24" i="1" s="1"/>
  <c r="E29" i="1"/>
  <c r="A23" i="1"/>
  <c r="B22" i="1"/>
  <c r="H25" i="1" l="1"/>
  <c r="I25" i="1" s="1"/>
  <c r="E30" i="1"/>
  <c r="A24" i="1"/>
  <c r="B23" i="1"/>
  <c r="H26" i="1" l="1"/>
  <c r="I26" i="1" s="1"/>
  <c r="E31" i="1"/>
  <c r="A25" i="1"/>
  <c r="B24" i="1"/>
  <c r="H27" i="1" l="1"/>
  <c r="I27" i="1" s="1"/>
  <c r="E32" i="1"/>
  <c r="A26" i="1"/>
  <c r="B25" i="1"/>
  <c r="H28" i="1" l="1"/>
  <c r="I28" i="1" s="1"/>
  <c r="E33" i="1"/>
  <c r="A27" i="1"/>
  <c r="B26" i="1"/>
  <c r="H29" i="1" l="1"/>
  <c r="I29" i="1" s="1"/>
  <c r="A28" i="1"/>
  <c r="B27" i="1"/>
  <c r="H30" i="1" l="1"/>
  <c r="I30" i="1" s="1"/>
  <c r="A29" i="1"/>
  <c r="B28" i="1"/>
  <c r="H31" i="1" l="1"/>
  <c r="I31" i="1" s="1"/>
  <c r="A30" i="1"/>
  <c r="B29" i="1"/>
  <c r="H32" i="1" l="1"/>
  <c r="A31" i="1"/>
  <c r="B30" i="1"/>
  <c r="I32" i="1" l="1"/>
  <c r="H33" i="1"/>
  <c r="I33" i="1" s="1"/>
  <c r="A32" i="1"/>
  <c r="B31" i="1"/>
  <c r="A33" i="1" l="1"/>
  <c r="B33" i="1" s="1"/>
  <c r="B32" i="1"/>
</calcChain>
</file>

<file path=xl/sharedStrings.xml><?xml version="1.0" encoding="utf-8"?>
<sst xmlns="http://schemas.openxmlformats.org/spreadsheetml/2006/main" count="78" uniqueCount="22">
  <si>
    <t>Planilha cartão de ponto</t>
  </si>
  <si>
    <t>Configurações</t>
  </si>
  <si>
    <t>Feriado</t>
  </si>
  <si>
    <t>Saída p/ almoço</t>
  </si>
  <si>
    <t>Volta do almoço</t>
  </si>
  <si>
    <t>Saída serviço</t>
  </si>
  <si>
    <t xml:space="preserve">caixa de opções </t>
  </si>
  <si>
    <t>Sim</t>
  </si>
  <si>
    <t>Não</t>
  </si>
  <si>
    <t>Dia do ano</t>
  </si>
  <si>
    <t>Total minutos extras</t>
  </si>
  <si>
    <t>Total minutos descontados</t>
  </si>
  <si>
    <t>Dia</t>
  </si>
  <si>
    <t>Adicionar desconto</t>
  </si>
  <si>
    <t>Entrada de Serviço:</t>
  </si>
  <si>
    <t>saída sexta</t>
  </si>
  <si>
    <t>saída normal</t>
  </si>
  <si>
    <t>tempo de almoço</t>
  </si>
  <si>
    <t>Horário de chegada</t>
  </si>
  <si>
    <t>Lista para auxiliar nos cálculos</t>
  </si>
  <si>
    <t>Zero</t>
  </si>
  <si>
    <t>Faltou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</si>
</sst>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20" fontId="0" fillId="0" borderId="0" xfId="0" applyNumberFormat="1"/>
    <xf numFmtId="1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20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0C8D7-CE40-4CB3-B4AC-7FCE2A30E165}">
  <sheetPr codeName="Planilha1"/>
  <dimension ref="A1:N42"/>
  <sheetViews>
    <sheetView tabSelected="1" workbookViewId="0">
      <selection activeCell="J6" sqref="J6"/>
    </sheetView>
  </sheetViews>
  <sheetFormatPr defaultRowHeight="15" x14ac:dyDescent="0.25"/>
  <cols>
    <col min="1" max="1" width="10.7109375" customWidth="1"/>
    <col min="2" max="3" width="6.85546875" customWidth="1"/>
    <col min="4" max="4" width="11" customWidth="1"/>
    <col min="5" max="5" width="17.5703125" customWidth="1"/>
    <col min="6" max="6" width="15.5703125" customWidth="1"/>
    <col min="7" max="7" width="15.7109375" customWidth="1"/>
    <col min="8" max="8" width="12.85546875" customWidth="1"/>
    <col min="9" max="9" width="19.85546875" customWidth="1"/>
    <col min="10" max="10" width="24.5703125" customWidth="1"/>
    <col min="11" max="11" width="19" customWidth="1"/>
    <col min="12" max="12" width="19.42578125" customWidth="1"/>
  </cols>
  <sheetData>
    <row r="1" spans="1:14" x14ac:dyDescent="0.25">
      <c r="G1" s="5" t="s">
        <v>0</v>
      </c>
      <c r="H1" s="5"/>
      <c r="I1" s="5"/>
      <c r="J1" s="5"/>
      <c r="K1" s="5"/>
      <c r="L1" s="5"/>
      <c r="M1" s="5"/>
      <c r="N1" s="5"/>
    </row>
    <row r="3" spans="1:14" x14ac:dyDescent="0.25">
      <c r="A3" s="3"/>
      <c r="B3" s="3"/>
      <c r="C3" s="3"/>
    </row>
    <row r="4" spans="1:14" x14ac:dyDescent="0.25">
      <c r="A4" s="3"/>
      <c r="B4" s="3"/>
      <c r="C4" s="3"/>
    </row>
    <row r="5" spans="1:14" x14ac:dyDescent="0.25">
      <c r="A5" t="s">
        <v>9</v>
      </c>
      <c r="B5" t="s">
        <v>12</v>
      </c>
      <c r="C5" t="s">
        <v>21</v>
      </c>
      <c r="D5" t="s">
        <v>2</v>
      </c>
      <c r="E5" t="s">
        <v>18</v>
      </c>
      <c r="F5" t="s">
        <v>3</v>
      </c>
      <c r="G5" t="s">
        <v>4</v>
      </c>
      <c r="H5" t="s">
        <v>5</v>
      </c>
      <c r="I5" t="s">
        <v>10</v>
      </c>
      <c r="J5" t="s">
        <v>11</v>
      </c>
      <c r="L5" t="s">
        <v>13</v>
      </c>
    </row>
    <row r="6" spans="1:14" x14ac:dyDescent="0.25">
      <c r="A6" s="3">
        <f>DATE(2021,2,1)</f>
        <v>44228</v>
      </c>
      <c r="B6" s="4">
        <f t="shared" ref="B6:B33" si="0">WEEKDAY(A6)</f>
        <v>2</v>
      </c>
      <c r="C6" s="4" t="s">
        <v>8</v>
      </c>
      <c r="D6" t="s">
        <v>8</v>
      </c>
      <c r="E6" s="2">
        <v>0.31944444444444448</v>
      </c>
      <c r="F6" s="2">
        <v>0.5</v>
      </c>
      <c r="G6" s="2">
        <v>0.54236111111111118</v>
      </c>
      <c r="H6" s="2">
        <v>0.71875</v>
      </c>
      <c r="I6" s="2">
        <f>IF(C6="sim",0,IF(D6="Sim", H6-E6, IF(B6=6,IF(E6&lt;EntradaServiço,EntradaServiço-Fevereiro!E6,0)+IF(Fevereiro!G6-Fevereiro!F6&lt;tempo_de_almoço,Fevereiro!G6-Fevereiro!F6-tempo_de_almoço,0)+IF(Fevereiro!H6&gt;saída_sexta, Fevereiro!H6-saída_sexta,0),IF(E6&lt;EntradaServiço,EntradaServiço-Fevereiro!E6,0)+IF(Fevereiro!G6-Fevereiro!F6&lt;tempo_de_almoço,Fevereiro!G6-Fevereiro!F6-tempo_de_almoço,0)+IF(Fevereiro!H6&gt;saída_normal, Fevereiro!H6-saída_normal,0))))</f>
        <v>3.4722222222222099E-3</v>
      </c>
      <c r="J6" s="7">
        <f>IF(C6="Sim",0,IF(D6="Sim",H6-E6,IF(B6=6, IF(E6&gt;EntradaServiço, Fevereiro!E6-EntradaServiço,0)+ IF(G6-F6&gt;tempo_de_almoço, G6-F6-tempo_de_almoço,0)+IF(H6&lt;saída_sexta,saída_sexta-H6,0),IF(E6&gt;EntradaServiço, Fevereiro!E6-EntradaServiço,0)+ IF(G6-F6&gt;tempo_de_almoço, G6-F6-tempo_de_almoço,0)+IF(H6&lt;saída_normal,saída_normal-H6,0))))</f>
        <v>1.4583333333333358E-2</v>
      </c>
      <c r="L6">
        <v>10</v>
      </c>
    </row>
    <row r="7" spans="1:14" x14ac:dyDescent="0.25">
      <c r="A7" s="3">
        <f>A6+1</f>
        <v>44229</v>
      </c>
      <c r="B7" s="4">
        <f t="shared" si="0"/>
        <v>3</v>
      </c>
      <c r="C7" s="4" t="s">
        <v>8</v>
      </c>
      <c r="D7" t="s">
        <v>8</v>
      </c>
      <c r="E7" s="2">
        <f>E6</f>
        <v>0.31944444444444448</v>
      </c>
      <c r="F7" s="2">
        <f>F6</f>
        <v>0.5</v>
      </c>
      <c r="G7" s="2">
        <f>G6</f>
        <v>0.54236111111111118</v>
      </c>
      <c r="H7" s="2">
        <f>H6</f>
        <v>0.71875</v>
      </c>
      <c r="I7" s="2">
        <f>IF(C7="sim",0,IF(D7="Sim", H7-E7, IF(B7=6,IF(E7&lt;EntradaServiço,EntradaServiço-Fevereiro!E7,0)+IF(Fevereiro!G7-Fevereiro!F7&lt;tempo_de_almoço,Fevereiro!G7-Fevereiro!F7-tempo_de_almoço,0)+IF(Fevereiro!H7&gt;saída_sexta, Fevereiro!H7-saída_sexta,0),IF(E7&lt;EntradaServiço,EntradaServiço-Fevereiro!E7,0)+IF(Fevereiro!G7-Fevereiro!F7&lt;tempo_de_almoço,Fevereiro!G7-Fevereiro!F7-tempo_de_almoço,0)+IF(Fevereiro!H7&gt;saída_normal, Fevereiro!H7-saída_normal,0))))</f>
        <v>3.4722222222222099E-3</v>
      </c>
      <c r="J7" s="7">
        <f>IF(C7="Sim",0,IF(D7="Sim",H7-E7,IF(B7=6, IF(E7&gt;EntradaServiço, Fevereiro!E7-EntradaServiço,0)+ IF(G7-F7&gt;tempo_de_almoço, G7-F7-tempo_de_almoço,0)+IF(H7&lt;saída_sexta,saída_sexta-H7,0),IF(E7&gt;EntradaServiço, Fevereiro!E7-EntradaServiço,0)+ IF(G7-F7&gt;tempo_de_almoço, G7-F7-tempo_de_almoço,0)+IF(H7&lt;saída_normal,saída_normal-H7,0))))</f>
        <v>1.4583333333333358E-2</v>
      </c>
      <c r="K7" s="2"/>
    </row>
    <row r="8" spans="1:14" x14ac:dyDescent="0.25">
      <c r="A8" s="3">
        <f t="shared" ref="A8:A33" si="1">A7+1</f>
        <v>44230</v>
      </c>
      <c r="B8" s="4">
        <f t="shared" si="0"/>
        <v>4</v>
      </c>
      <c r="C8" s="4" t="s">
        <v>8</v>
      </c>
      <c r="D8" t="s">
        <v>8</v>
      </c>
      <c r="E8" s="2">
        <f t="shared" ref="E8:E33" si="2">E7</f>
        <v>0.31944444444444448</v>
      </c>
      <c r="F8" s="2">
        <f t="shared" ref="F8:F33" si="3">F7</f>
        <v>0.5</v>
      </c>
      <c r="G8" s="2">
        <f t="shared" ref="G8:G33" si="4">G7</f>
        <v>0.54236111111111118</v>
      </c>
      <c r="H8" s="2">
        <f t="shared" ref="H8:H33" si="5">H7</f>
        <v>0.71875</v>
      </c>
      <c r="I8" s="2">
        <f>IF(C8="sim",0,IF(D8="Sim", H8-E8, IF(B8=6,IF(E8&lt;EntradaServiço,EntradaServiço-Fevereiro!E8,0)+IF(Fevereiro!G8-Fevereiro!F8&lt;tempo_de_almoço,Fevereiro!G8-Fevereiro!F8-tempo_de_almoço,0)+IF(Fevereiro!H8&gt;saída_sexta, Fevereiro!H8-saída_sexta,0),IF(E8&lt;EntradaServiço,EntradaServiço-Fevereiro!E8,0)+IF(Fevereiro!G8-Fevereiro!F8&lt;tempo_de_almoço,Fevereiro!G8-Fevereiro!F8-tempo_de_almoço,0)+IF(Fevereiro!H8&gt;saída_normal, Fevereiro!H8-saída_normal,0))))</f>
        <v>3.4722222222222099E-3</v>
      </c>
      <c r="J8" s="7">
        <f>IF(C8="Sim",0,IF(D8="Sim",H8-E8,IF(B8=6, IF(E8&gt;EntradaServiço, Fevereiro!E8-EntradaServiço,0)+ IF(G8-F8&gt;tempo_de_almoço, G8-F8-tempo_de_almoço,0)+IF(H8&lt;saída_sexta,saída_sexta-H8,0),IF(E8&gt;EntradaServiço, Fevereiro!E8-EntradaServiço,0)+ IF(G8-F8&gt;tempo_de_almoço, G8-F8-tempo_de_almoço,0)+IF(H8&lt;saída_normal,saída_normal-H8,0))))</f>
        <v>1.4583333333333358E-2</v>
      </c>
    </row>
    <row r="9" spans="1:14" x14ac:dyDescent="0.25">
      <c r="A9" s="3">
        <f t="shared" si="1"/>
        <v>44231</v>
      </c>
      <c r="B9" s="4">
        <f t="shared" si="0"/>
        <v>5</v>
      </c>
      <c r="C9" s="4" t="s">
        <v>8</v>
      </c>
      <c r="D9" t="s">
        <v>8</v>
      </c>
      <c r="E9" s="2">
        <f t="shared" si="2"/>
        <v>0.31944444444444448</v>
      </c>
      <c r="F9" s="2">
        <f t="shared" si="3"/>
        <v>0.5</v>
      </c>
      <c r="G9" s="2">
        <f t="shared" si="4"/>
        <v>0.54236111111111118</v>
      </c>
      <c r="H9" s="2">
        <f t="shared" si="5"/>
        <v>0.71875</v>
      </c>
      <c r="I9" s="2">
        <f>IF(C9="sim",0,IF(D9="Sim", H9-E9, IF(B9=6,IF(E9&lt;EntradaServiço,EntradaServiço-Fevereiro!E9,0)+IF(Fevereiro!G9-Fevereiro!F9&lt;tempo_de_almoço,Fevereiro!G9-Fevereiro!F9-tempo_de_almoço,0)+IF(Fevereiro!H9&gt;saída_sexta, Fevereiro!H9-saída_sexta,0),IF(E9&lt;EntradaServiço,EntradaServiço-Fevereiro!E9,0)+IF(Fevereiro!G9-Fevereiro!F9&lt;tempo_de_almoço,Fevereiro!G9-Fevereiro!F9-tempo_de_almoço,0)+IF(Fevereiro!H9&gt;saída_normal, Fevereiro!H9-saída_normal,0))))</f>
        <v>3.4722222222222099E-3</v>
      </c>
      <c r="J9" s="7">
        <f>IF(C9="Sim",0,IF(D9="Sim",H9-E9,IF(B9=6, IF(E9&gt;EntradaServiço, Fevereiro!E9-EntradaServiço,0)+ IF(G9-F9&gt;tempo_de_almoço, G9-F9-tempo_de_almoço,0)+IF(H9&lt;saída_sexta,saída_sexta-H9,0),IF(E9&gt;EntradaServiço, Fevereiro!E9-EntradaServiço,0)+ IF(G9-F9&gt;tempo_de_almoço, G9-F9-tempo_de_almoço,0)+IF(H9&lt;saída_normal,saída_normal-H9,0))))</f>
        <v>1.4583333333333358E-2</v>
      </c>
    </row>
    <row r="10" spans="1:14" x14ac:dyDescent="0.25">
      <c r="A10" s="3">
        <f t="shared" si="1"/>
        <v>44232</v>
      </c>
      <c r="B10" s="4">
        <f t="shared" si="0"/>
        <v>6</v>
      </c>
      <c r="C10" s="4" t="s">
        <v>8</v>
      </c>
      <c r="D10" t="s">
        <v>8</v>
      </c>
      <c r="E10" s="2">
        <f t="shared" si="2"/>
        <v>0.31944444444444448</v>
      </c>
      <c r="F10" s="2">
        <f t="shared" si="3"/>
        <v>0.5</v>
      </c>
      <c r="G10" s="2">
        <f t="shared" si="4"/>
        <v>0.54236111111111118</v>
      </c>
      <c r="H10" s="2">
        <f t="shared" si="5"/>
        <v>0.71875</v>
      </c>
      <c r="I10" s="2">
        <f>IF(C10="sim",0,IF(D10="Sim", H10-E10, IF(B10=6,IF(E10&lt;EntradaServiço,EntradaServiço-Fevereiro!E10,0)+IF(Fevereiro!G10-Fevereiro!F10&lt;tempo_de_almoço,Fevereiro!G10-Fevereiro!F10-tempo_de_almoço,0)+IF(Fevereiro!H10&gt;saída_sexta, Fevereiro!H10-saída_sexta,0),IF(E10&lt;EntradaServiço,EntradaServiço-Fevereiro!E10,0)+IF(Fevereiro!G10-Fevereiro!F10&lt;tempo_de_almoço,Fevereiro!G10-Fevereiro!F10-tempo_de_almoço,0)+IF(Fevereiro!H10&gt;saída_normal, Fevereiro!H10-saída_normal,0))))</f>
        <v>3.4722222222222099E-3</v>
      </c>
      <c r="J10" s="7">
        <f>IF(C10="Sim",0,IF(D10="Sim",H10-E10,IF(B10=6, IF(E10&gt;EntradaServiço, Fevereiro!E10-EntradaServiço,0)+ IF(G10-F10&gt;tempo_de_almoço, G10-F10-tempo_de_almoço,0)+IF(H10&lt;saída_sexta,saída_sexta-H10,0),IF(E10&gt;EntradaServiço, Fevereiro!E10-EntradaServiço,0)+ IF(G10-F10&gt;tempo_de_almoço, G10-F10-tempo_de_almoço,0)+IF(H10&lt;saída_normal,saída_normal-H10,0))))</f>
        <v>7.6388888888890491E-3</v>
      </c>
    </row>
    <row r="11" spans="1:14" x14ac:dyDescent="0.25">
      <c r="A11" s="3">
        <f t="shared" si="1"/>
        <v>44233</v>
      </c>
      <c r="B11" s="4">
        <f t="shared" si="0"/>
        <v>7</v>
      </c>
      <c r="C11" s="4" t="s">
        <v>8</v>
      </c>
      <c r="D11" t="s">
        <v>8</v>
      </c>
      <c r="E11" s="2">
        <f t="shared" si="2"/>
        <v>0.31944444444444448</v>
      </c>
      <c r="F11" s="2">
        <f t="shared" si="3"/>
        <v>0.5</v>
      </c>
      <c r="G11" s="2">
        <f t="shared" si="4"/>
        <v>0.54236111111111118</v>
      </c>
      <c r="H11" s="2">
        <f t="shared" si="5"/>
        <v>0.71875</v>
      </c>
      <c r="I11" s="2">
        <f>IF(C11="sim",0,IF(D11="Sim", H11-E11, IF(B11=6,IF(E11&lt;EntradaServiço,EntradaServiço-Fevereiro!E11,0)+IF(Fevereiro!G11-Fevereiro!F11&lt;tempo_de_almoço,Fevereiro!G11-Fevereiro!F11-tempo_de_almoço,0)+IF(Fevereiro!H11&gt;saída_sexta, Fevereiro!H11-saída_sexta,0),IF(E11&lt;EntradaServiço,EntradaServiço-Fevereiro!E11,0)+IF(Fevereiro!G11-Fevereiro!F11&lt;tempo_de_almoço,Fevereiro!G11-Fevereiro!F11-tempo_de_almoço,0)+IF(Fevereiro!H11&gt;saída_normal, Fevereiro!H11-saída_normal,0))))</f>
        <v>3.4722222222222099E-3</v>
      </c>
      <c r="J11" s="7">
        <f>IF(C11="Sim",0,IF(D11="Sim",H11-E11,IF(B11=6, IF(E11&gt;EntradaServiço, Fevereiro!E11-EntradaServiço,0)+ IF(G11-F11&gt;tempo_de_almoço, G11-F11-tempo_de_almoço,0)+IF(H11&lt;saída_sexta,saída_sexta-H11,0),IF(E11&gt;EntradaServiço, Fevereiro!E11-EntradaServiço,0)+ IF(G11-F11&gt;tempo_de_almoço, G11-F11-tempo_de_almoço,0)+IF(H11&lt;saída_normal,saída_normal-H11,0))))</f>
        <v>1.4583333333333358E-2</v>
      </c>
    </row>
    <row r="12" spans="1:14" x14ac:dyDescent="0.25">
      <c r="A12" s="3">
        <f t="shared" si="1"/>
        <v>44234</v>
      </c>
      <c r="B12" s="4">
        <f t="shared" si="0"/>
        <v>1</v>
      </c>
      <c r="C12" s="4" t="s">
        <v>8</v>
      </c>
      <c r="D12" t="s">
        <v>8</v>
      </c>
      <c r="E12" s="2">
        <f t="shared" si="2"/>
        <v>0.31944444444444448</v>
      </c>
      <c r="F12" s="2">
        <f t="shared" si="3"/>
        <v>0.5</v>
      </c>
      <c r="G12" s="2">
        <f t="shared" si="4"/>
        <v>0.54236111111111118</v>
      </c>
      <c r="H12" s="2">
        <f t="shared" si="5"/>
        <v>0.71875</v>
      </c>
      <c r="I12" s="2">
        <f>IF(C12="sim",0,IF(D12="Sim", H12-E12, IF(B12=6,IF(E12&lt;EntradaServiço,EntradaServiço-Fevereiro!E12,0)+IF(Fevereiro!G12-Fevereiro!F12&lt;tempo_de_almoço,Fevereiro!G12-Fevereiro!F12-tempo_de_almoço,0)+IF(Fevereiro!H12&gt;saída_sexta, Fevereiro!H12-saída_sexta,0),IF(E12&lt;EntradaServiço,EntradaServiço-Fevereiro!E12,0)+IF(Fevereiro!G12-Fevereiro!F12&lt;tempo_de_almoço,Fevereiro!G12-Fevereiro!F12-tempo_de_almoço,0)+IF(Fevereiro!H12&gt;saída_normal, Fevereiro!H12-saída_normal,0))))</f>
        <v>3.4722222222222099E-3</v>
      </c>
      <c r="J12" s="7">
        <f>IF(C12="Sim",0,IF(D12="Sim",H12-E12,IF(B12=6, IF(E12&gt;EntradaServiço, Fevereiro!E12-EntradaServiço,0)+ IF(G12-F12&gt;tempo_de_almoço, G12-F12-tempo_de_almoço,0)+IF(H12&lt;saída_sexta,saída_sexta-H12,0),IF(E12&gt;EntradaServiço, Fevereiro!E12-EntradaServiço,0)+ IF(G12-F12&gt;tempo_de_almoço, G12-F12-tempo_de_almoço,0)+IF(H12&lt;saída_normal,saída_normal-H12,0))))</f>
        <v>1.4583333333333358E-2</v>
      </c>
    </row>
    <row r="13" spans="1:14" x14ac:dyDescent="0.25">
      <c r="A13" s="3">
        <f t="shared" si="1"/>
        <v>44235</v>
      </c>
      <c r="B13" s="4">
        <f t="shared" si="0"/>
        <v>2</v>
      </c>
      <c r="C13" s="4" t="s">
        <v>8</v>
      </c>
      <c r="D13" t="s">
        <v>8</v>
      </c>
      <c r="E13" s="2">
        <f t="shared" si="2"/>
        <v>0.31944444444444448</v>
      </c>
      <c r="F13" s="2">
        <f t="shared" si="3"/>
        <v>0.5</v>
      </c>
      <c r="G13" s="2">
        <f t="shared" si="4"/>
        <v>0.54236111111111118</v>
      </c>
      <c r="H13" s="2">
        <f t="shared" si="5"/>
        <v>0.71875</v>
      </c>
      <c r="I13" s="2">
        <f>IF(C13="sim",0,IF(D13="Sim", H13-E13, IF(B13=6,IF(E13&lt;EntradaServiço,EntradaServiço-Fevereiro!E13,0)+IF(Fevereiro!G13-Fevereiro!F13&lt;tempo_de_almoço,Fevereiro!G13-Fevereiro!F13-tempo_de_almoço,0)+IF(Fevereiro!H13&gt;saída_sexta, Fevereiro!H13-saída_sexta,0),IF(E13&lt;EntradaServiço,EntradaServiço-Fevereiro!E13,0)+IF(Fevereiro!G13-Fevereiro!F13&lt;tempo_de_almoço,Fevereiro!G13-Fevereiro!F13-tempo_de_almoço,0)+IF(Fevereiro!H13&gt;saída_normal, Fevereiro!H13-saída_normal,0))))</f>
        <v>3.4722222222222099E-3</v>
      </c>
      <c r="J13" s="7">
        <f>IF(C13="Sim",0,IF(D13="Sim",H13-E13,IF(B13=6, IF(E13&gt;EntradaServiço, Fevereiro!E13-EntradaServiço,0)+ IF(G13-F13&gt;tempo_de_almoço, G13-F13-tempo_de_almoço,0)+IF(H13&lt;saída_sexta,saída_sexta-H13,0),IF(E13&gt;EntradaServiço, Fevereiro!E13-EntradaServiço,0)+ IF(G13-F13&gt;tempo_de_almoço, G13-F13-tempo_de_almoço,0)+IF(H13&lt;saída_normal,saída_normal-H13,0))))</f>
        <v>1.4583333333333358E-2</v>
      </c>
    </row>
    <row r="14" spans="1:14" x14ac:dyDescent="0.25">
      <c r="A14" s="3">
        <f t="shared" si="1"/>
        <v>44236</v>
      </c>
      <c r="B14" s="4">
        <f t="shared" si="0"/>
        <v>3</v>
      </c>
      <c r="C14" s="4" t="s">
        <v>8</v>
      </c>
      <c r="D14" t="s">
        <v>8</v>
      </c>
      <c r="E14" s="2">
        <f t="shared" si="2"/>
        <v>0.31944444444444448</v>
      </c>
      <c r="F14" s="2">
        <f t="shared" si="3"/>
        <v>0.5</v>
      </c>
      <c r="G14" s="2">
        <f t="shared" si="4"/>
        <v>0.54236111111111118</v>
      </c>
      <c r="H14" s="2">
        <f t="shared" si="5"/>
        <v>0.71875</v>
      </c>
      <c r="I14" s="2">
        <f>IF(C14="sim",0,IF(D14="Sim", H14-E14, IF(B14=6,IF(E14&lt;EntradaServiço,EntradaServiço-Fevereiro!E14,0)+IF(Fevereiro!G14-Fevereiro!F14&lt;tempo_de_almoço,Fevereiro!G14-Fevereiro!F14-tempo_de_almoço,0)+IF(Fevereiro!H14&gt;saída_sexta, Fevereiro!H14-saída_sexta,0),IF(E14&lt;EntradaServiço,EntradaServiço-Fevereiro!E14,0)+IF(Fevereiro!G14-Fevereiro!F14&lt;tempo_de_almoço,Fevereiro!G14-Fevereiro!F14-tempo_de_almoço,0)+IF(Fevereiro!H14&gt;saída_normal, Fevereiro!H14-saída_normal,0))))</f>
        <v>3.4722222222222099E-3</v>
      </c>
      <c r="J14" s="7">
        <f>IF(C14="Sim",0,IF(D14="Sim",H14-E14,IF(B14=6, IF(E14&gt;EntradaServiço, Fevereiro!E14-EntradaServiço,0)+ IF(G14-F14&gt;tempo_de_almoço, G14-F14-tempo_de_almoço,0)+IF(H14&lt;saída_sexta,saída_sexta-H14,0),IF(E14&gt;EntradaServiço, Fevereiro!E14-EntradaServiço,0)+ IF(G14-F14&gt;tempo_de_almoço, G14-F14-tempo_de_almoço,0)+IF(H14&lt;saída_normal,saída_normal-H14,0))))</f>
        <v>1.4583333333333358E-2</v>
      </c>
    </row>
    <row r="15" spans="1:14" x14ac:dyDescent="0.25">
      <c r="A15" s="3">
        <f t="shared" si="1"/>
        <v>44237</v>
      </c>
      <c r="B15" s="4">
        <f t="shared" si="0"/>
        <v>4</v>
      </c>
      <c r="C15" s="4" t="s">
        <v>8</v>
      </c>
      <c r="D15" t="s">
        <v>8</v>
      </c>
      <c r="E15" s="2">
        <f t="shared" si="2"/>
        <v>0.31944444444444448</v>
      </c>
      <c r="F15" s="2">
        <f t="shared" si="3"/>
        <v>0.5</v>
      </c>
      <c r="G15" s="2">
        <f t="shared" si="4"/>
        <v>0.54236111111111118</v>
      </c>
      <c r="H15" s="2">
        <f t="shared" si="5"/>
        <v>0.71875</v>
      </c>
      <c r="I15" s="2">
        <f>IF(C15="sim",0,IF(D15="Sim", H15-E15, IF(B15=6,IF(E15&lt;EntradaServiço,EntradaServiço-Fevereiro!E15,0)+IF(Fevereiro!G15-Fevereiro!F15&lt;tempo_de_almoço,Fevereiro!G15-Fevereiro!F15-tempo_de_almoço,0)+IF(Fevereiro!H15&gt;saída_sexta, Fevereiro!H15-saída_sexta,0),IF(E15&lt;EntradaServiço,EntradaServiço-Fevereiro!E15,0)+IF(Fevereiro!G15-Fevereiro!F15&lt;tempo_de_almoço,Fevereiro!G15-Fevereiro!F15-tempo_de_almoço,0)+IF(Fevereiro!H15&gt;saída_normal, Fevereiro!H15-saída_normal,0))))</f>
        <v>3.4722222222222099E-3</v>
      </c>
      <c r="J15" s="7">
        <f>IF(C15="Sim",0,IF(D15="Sim",H15-E15,IF(B15=6, IF(E15&gt;EntradaServiço, Fevereiro!E15-EntradaServiço,0)+ IF(G15-F15&gt;tempo_de_almoço, G15-F15-tempo_de_almoço,0)+IF(H15&lt;saída_sexta,saída_sexta-H15,0),IF(E15&gt;EntradaServiço, Fevereiro!E15-EntradaServiço,0)+ IF(G15-F15&gt;tempo_de_almoço, G15-F15-tempo_de_almoço,0)+IF(H15&lt;saída_normal,saída_normal-H15,0))))</f>
        <v>1.4583333333333358E-2</v>
      </c>
    </row>
    <row r="16" spans="1:14" x14ac:dyDescent="0.25">
      <c r="A16" s="3">
        <f t="shared" si="1"/>
        <v>44238</v>
      </c>
      <c r="B16" s="4">
        <f t="shared" si="0"/>
        <v>5</v>
      </c>
      <c r="C16" s="4" t="s">
        <v>8</v>
      </c>
      <c r="D16" t="s">
        <v>8</v>
      </c>
      <c r="E16" s="2">
        <f t="shared" si="2"/>
        <v>0.31944444444444448</v>
      </c>
      <c r="F16" s="2">
        <f t="shared" si="3"/>
        <v>0.5</v>
      </c>
      <c r="G16" s="2">
        <f t="shared" si="4"/>
        <v>0.54236111111111118</v>
      </c>
      <c r="H16" s="2">
        <f t="shared" si="5"/>
        <v>0.71875</v>
      </c>
      <c r="I16" s="2">
        <f>IF(C16="sim",0,IF(D16="Sim", H16-E16, IF(B16=6,IF(E16&lt;EntradaServiço,EntradaServiço-Fevereiro!E16,0)+IF(Fevereiro!G16-Fevereiro!F16&lt;tempo_de_almoço,Fevereiro!G16-Fevereiro!F16-tempo_de_almoço,0)+IF(Fevereiro!H16&gt;saída_sexta, Fevereiro!H16-saída_sexta,0),IF(E16&lt;EntradaServiço,EntradaServiço-Fevereiro!E16,0)+IF(Fevereiro!G16-Fevereiro!F16&lt;tempo_de_almoço,Fevereiro!G16-Fevereiro!F16-tempo_de_almoço,0)+IF(Fevereiro!H16&gt;saída_normal, Fevereiro!H16-saída_normal,0))))</f>
        <v>3.4722222222222099E-3</v>
      </c>
      <c r="J16" s="7">
        <f>IF(C16="Sim",0,IF(D16="Sim",H16-E16,IF(B16=6, IF(E16&gt;EntradaServiço, Fevereiro!E16-EntradaServiço,0)+ IF(G16-F16&gt;tempo_de_almoço, G16-F16-tempo_de_almoço,0)+IF(H16&lt;saída_sexta,saída_sexta-H16,0),IF(E16&gt;EntradaServiço, Fevereiro!E16-EntradaServiço,0)+ IF(G16-F16&gt;tempo_de_almoço, G16-F16-tempo_de_almoço,0)+IF(H16&lt;saída_normal,saída_normal-H16,0))))</f>
        <v>1.4583333333333358E-2</v>
      </c>
    </row>
    <row r="17" spans="1:10" x14ac:dyDescent="0.25">
      <c r="A17" s="3">
        <f t="shared" si="1"/>
        <v>44239</v>
      </c>
      <c r="B17" s="4">
        <f t="shared" si="0"/>
        <v>6</v>
      </c>
      <c r="C17" s="4" t="s">
        <v>8</v>
      </c>
      <c r="D17" t="s">
        <v>8</v>
      </c>
      <c r="E17" s="2">
        <f t="shared" si="2"/>
        <v>0.31944444444444448</v>
      </c>
      <c r="F17" s="2">
        <f t="shared" si="3"/>
        <v>0.5</v>
      </c>
      <c r="G17" s="2">
        <f t="shared" si="4"/>
        <v>0.54236111111111118</v>
      </c>
      <c r="H17" s="2">
        <f t="shared" si="5"/>
        <v>0.71875</v>
      </c>
      <c r="I17" s="2">
        <f>IF(C17="sim",0,IF(D17="Sim", H17-E17, IF(B17=6,IF(E17&lt;EntradaServiço,EntradaServiço-Fevereiro!E17,0)+IF(Fevereiro!G17-Fevereiro!F17&lt;tempo_de_almoço,Fevereiro!G17-Fevereiro!F17-tempo_de_almoço,0)+IF(Fevereiro!H17&gt;saída_sexta, Fevereiro!H17-saída_sexta,0),IF(E17&lt;EntradaServiço,EntradaServiço-Fevereiro!E17,0)+IF(Fevereiro!G17-Fevereiro!F17&lt;tempo_de_almoço,Fevereiro!G17-Fevereiro!F17-tempo_de_almoço,0)+IF(Fevereiro!H17&gt;saída_normal, Fevereiro!H17-saída_normal,0))))</f>
        <v>3.4722222222222099E-3</v>
      </c>
      <c r="J17" s="7">
        <f>IF(C17="Sim",0,IF(D17="Sim",H17-E17,IF(B17=6, IF(E17&gt;EntradaServiço, Fevereiro!E17-EntradaServiço,0)+ IF(G17-F17&gt;tempo_de_almoço, G17-F17-tempo_de_almoço,0)+IF(H17&lt;saída_sexta,saída_sexta-H17,0),IF(E17&gt;EntradaServiço, Fevereiro!E17-EntradaServiço,0)+ IF(G17-F17&gt;tempo_de_almoço, G17-F17-tempo_de_almoço,0)+IF(H17&lt;saída_normal,saída_normal-H17,0))))</f>
        <v>7.6388888888890491E-3</v>
      </c>
    </row>
    <row r="18" spans="1:10" x14ac:dyDescent="0.25">
      <c r="A18" s="3">
        <f t="shared" si="1"/>
        <v>44240</v>
      </c>
      <c r="B18" s="4">
        <f t="shared" si="0"/>
        <v>7</v>
      </c>
      <c r="C18" s="4" t="s">
        <v>8</v>
      </c>
      <c r="D18" t="s">
        <v>8</v>
      </c>
      <c r="E18" s="2">
        <f t="shared" si="2"/>
        <v>0.31944444444444448</v>
      </c>
      <c r="F18" s="2">
        <f t="shared" si="3"/>
        <v>0.5</v>
      </c>
      <c r="G18" s="2">
        <f t="shared" si="4"/>
        <v>0.54236111111111118</v>
      </c>
      <c r="H18" s="2">
        <f t="shared" si="5"/>
        <v>0.71875</v>
      </c>
      <c r="I18" s="2">
        <f>IF(C18="sim",0,IF(D18="Sim", H18-E18, IF(B18=6,IF(E18&lt;EntradaServiço,EntradaServiço-Fevereiro!E18,0)+IF(Fevereiro!G18-Fevereiro!F18&lt;tempo_de_almoço,Fevereiro!G18-Fevereiro!F18-tempo_de_almoço,0)+IF(Fevereiro!H18&gt;saída_sexta, Fevereiro!H18-saída_sexta,0),IF(E18&lt;EntradaServiço,EntradaServiço-Fevereiro!E18,0)+IF(Fevereiro!G18-Fevereiro!F18&lt;tempo_de_almoço,Fevereiro!G18-Fevereiro!F18-tempo_de_almoço,0)+IF(Fevereiro!H18&gt;saída_normal, Fevereiro!H18-saída_normal,0))))</f>
        <v>3.4722222222222099E-3</v>
      </c>
      <c r="J18" s="7">
        <f>IF(C18="Sim",0,IF(D18="Sim",H18-E18,IF(B18=6, IF(E18&gt;EntradaServiço, Fevereiro!E18-EntradaServiço,0)+ IF(G18-F18&gt;tempo_de_almoço, G18-F18-tempo_de_almoço,0)+IF(H18&lt;saída_sexta,saída_sexta-H18,0),IF(E18&gt;EntradaServiço, Fevereiro!E18-EntradaServiço,0)+ IF(G18-F18&gt;tempo_de_almoço, G18-F18-tempo_de_almoço,0)+IF(H18&lt;saída_normal,saída_normal-H18,0))))</f>
        <v>1.4583333333333358E-2</v>
      </c>
    </row>
    <row r="19" spans="1:10" x14ac:dyDescent="0.25">
      <c r="A19" s="3">
        <f t="shared" si="1"/>
        <v>44241</v>
      </c>
      <c r="B19" s="4">
        <f t="shared" si="0"/>
        <v>1</v>
      </c>
      <c r="C19" s="4" t="s">
        <v>8</v>
      </c>
      <c r="D19" t="s">
        <v>8</v>
      </c>
      <c r="E19" s="2">
        <f t="shared" si="2"/>
        <v>0.31944444444444448</v>
      </c>
      <c r="F19" s="2">
        <f t="shared" si="3"/>
        <v>0.5</v>
      </c>
      <c r="G19" s="2">
        <f t="shared" si="4"/>
        <v>0.54236111111111118</v>
      </c>
      <c r="H19" s="2">
        <f t="shared" si="5"/>
        <v>0.71875</v>
      </c>
      <c r="I19" s="2">
        <f>IF(C19="sim",0,IF(D19="Sim", H19-E19, IF(B19=6,IF(E19&lt;EntradaServiço,EntradaServiço-Fevereiro!E19,0)+IF(Fevereiro!G19-Fevereiro!F19&lt;tempo_de_almoço,Fevereiro!G19-Fevereiro!F19-tempo_de_almoço,0)+IF(Fevereiro!H19&gt;saída_sexta, Fevereiro!H19-saída_sexta,0),IF(E19&lt;EntradaServiço,EntradaServiço-Fevereiro!E19,0)+IF(Fevereiro!G19-Fevereiro!F19&lt;tempo_de_almoço,Fevereiro!G19-Fevereiro!F19-tempo_de_almoço,0)+IF(Fevereiro!H19&gt;saída_normal, Fevereiro!H19-saída_normal,0))))</f>
        <v>3.4722222222222099E-3</v>
      </c>
      <c r="J19" s="7">
        <f>IF(C19="Sim",0,IF(D19="Sim",H19-E19,IF(B19=6, IF(E19&gt;EntradaServiço, Fevereiro!E19-EntradaServiço,0)+ IF(G19-F19&gt;tempo_de_almoço, G19-F19-tempo_de_almoço,0)+IF(H19&lt;saída_sexta,saída_sexta-H19,0),IF(E19&gt;EntradaServiço, Fevereiro!E19-EntradaServiço,0)+ IF(G19-F19&gt;tempo_de_almoço, G19-F19-tempo_de_almoço,0)+IF(H19&lt;saída_normal,saída_normal-H19,0))))</f>
        <v>1.4583333333333358E-2</v>
      </c>
    </row>
    <row r="20" spans="1:10" x14ac:dyDescent="0.25">
      <c r="A20" s="3">
        <f t="shared" si="1"/>
        <v>44242</v>
      </c>
      <c r="B20" s="4">
        <f t="shared" si="0"/>
        <v>2</v>
      </c>
      <c r="C20" s="4" t="s">
        <v>8</v>
      </c>
      <c r="D20" t="s">
        <v>8</v>
      </c>
      <c r="E20" s="2">
        <f t="shared" si="2"/>
        <v>0.31944444444444448</v>
      </c>
      <c r="F20" s="2">
        <f t="shared" si="3"/>
        <v>0.5</v>
      </c>
      <c r="G20" s="2">
        <f t="shared" si="4"/>
        <v>0.54236111111111118</v>
      </c>
      <c r="H20" s="2">
        <f t="shared" si="5"/>
        <v>0.71875</v>
      </c>
      <c r="I20" s="2">
        <f>IF(C20="sim",0,IF(D20="Sim", H20-E20, IF(B20=6,IF(E20&lt;EntradaServiço,EntradaServiço-Fevereiro!E20,0)+IF(Fevereiro!G20-Fevereiro!F20&lt;tempo_de_almoço,Fevereiro!G20-Fevereiro!F20-tempo_de_almoço,0)+IF(Fevereiro!H20&gt;saída_sexta, Fevereiro!H20-saída_sexta,0),IF(E20&lt;EntradaServiço,EntradaServiço-Fevereiro!E20,0)+IF(Fevereiro!G20-Fevereiro!F20&lt;tempo_de_almoço,Fevereiro!G20-Fevereiro!F20-tempo_de_almoço,0)+IF(Fevereiro!H20&gt;saída_normal, Fevereiro!H20-saída_normal,0))))</f>
        <v>3.4722222222222099E-3</v>
      </c>
      <c r="J20" s="7">
        <f>IF(C20="Sim",0,IF(D20="Sim",H20-E20,IF(B20=6, IF(E20&gt;EntradaServiço, Fevereiro!E20-EntradaServiço,0)+ IF(G20-F20&gt;tempo_de_almoço, G20-F20-tempo_de_almoço,0)+IF(H20&lt;saída_sexta,saída_sexta-H20,0),IF(E20&gt;EntradaServiço, Fevereiro!E20-EntradaServiço,0)+ IF(G20-F20&gt;tempo_de_almoço, G20-F20-tempo_de_almoço,0)+IF(H20&lt;saída_normal,saída_normal-H20,0))))</f>
        <v>1.4583333333333358E-2</v>
      </c>
    </row>
    <row r="21" spans="1:10" x14ac:dyDescent="0.25">
      <c r="A21" s="3">
        <f t="shared" si="1"/>
        <v>44243</v>
      </c>
      <c r="B21" s="4">
        <f t="shared" si="0"/>
        <v>3</v>
      </c>
      <c r="C21" s="4" t="s">
        <v>8</v>
      </c>
      <c r="D21" t="s">
        <v>8</v>
      </c>
      <c r="E21" s="2">
        <f t="shared" si="2"/>
        <v>0.31944444444444448</v>
      </c>
      <c r="F21" s="2">
        <f t="shared" si="3"/>
        <v>0.5</v>
      </c>
      <c r="G21" s="2">
        <f t="shared" si="4"/>
        <v>0.54236111111111118</v>
      </c>
      <c r="H21" s="2">
        <f t="shared" si="5"/>
        <v>0.71875</v>
      </c>
      <c r="I21" s="2">
        <f>IF(C21="sim",0,IF(D21="Sim", H21-E21, IF(B21=6,IF(E21&lt;EntradaServiço,EntradaServiço-Fevereiro!E21,0)+IF(Fevereiro!G21-Fevereiro!F21&lt;tempo_de_almoço,Fevereiro!G21-Fevereiro!F21-tempo_de_almoço,0)+IF(Fevereiro!H21&gt;saída_sexta, Fevereiro!H21-saída_sexta,0),IF(E21&lt;EntradaServiço,EntradaServiço-Fevereiro!E21,0)+IF(Fevereiro!G21-Fevereiro!F21&lt;tempo_de_almoço,Fevereiro!G21-Fevereiro!F21-tempo_de_almoço,0)+IF(Fevereiro!H21&gt;saída_normal, Fevereiro!H21-saída_normal,0))))</f>
        <v>3.4722222222222099E-3</v>
      </c>
      <c r="J21" s="7">
        <f>IF(C21="Sim",0,IF(D21="Sim",H21-E21,IF(B21=6, IF(E21&gt;EntradaServiço, Fevereiro!E21-EntradaServiço,0)+ IF(G21-F21&gt;tempo_de_almoço, G21-F21-tempo_de_almoço,0)+IF(H21&lt;saída_sexta,saída_sexta-H21,0),IF(E21&gt;EntradaServiço, Fevereiro!E21-EntradaServiço,0)+ IF(G21-F21&gt;tempo_de_almoço, G21-F21-tempo_de_almoço,0)+IF(H21&lt;saída_normal,saída_normal-H21,0))))</f>
        <v>1.4583333333333358E-2</v>
      </c>
    </row>
    <row r="22" spans="1:10" x14ac:dyDescent="0.25">
      <c r="A22" s="3">
        <f t="shared" si="1"/>
        <v>44244</v>
      </c>
      <c r="B22" s="4">
        <f t="shared" si="0"/>
        <v>4</v>
      </c>
      <c r="C22" s="4" t="s">
        <v>8</v>
      </c>
      <c r="D22" t="s">
        <v>8</v>
      </c>
      <c r="E22" s="2">
        <f t="shared" si="2"/>
        <v>0.31944444444444448</v>
      </c>
      <c r="F22" s="2">
        <f t="shared" si="3"/>
        <v>0.5</v>
      </c>
      <c r="G22" s="2">
        <f t="shared" si="4"/>
        <v>0.54236111111111118</v>
      </c>
      <c r="H22" s="2">
        <f t="shared" si="5"/>
        <v>0.71875</v>
      </c>
      <c r="I22" s="2">
        <f>IF(C22="sim",0,IF(D22="Sim", H22-E22, IF(B22=6,IF(E22&lt;EntradaServiço,EntradaServiço-Fevereiro!E22,0)+IF(Fevereiro!G22-Fevereiro!F22&lt;tempo_de_almoço,Fevereiro!G22-Fevereiro!F22-tempo_de_almoço,0)+IF(Fevereiro!H22&gt;saída_sexta, Fevereiro!H22-saída_sexta,0),IF(E22&lt;EntradaServiço,EntradaServiço-Fevereiro!E22,0)+IF(Fevereiro!G22-Fevereiro!F22&lt;tempo_de_almoço,Fevereiro!G22-Fevereiro!F22-tempo_de_almoço,0)+IF(Fevereiro!H22&gt;saída_normal, Fevereiro!H22-saída_normal,0))))</f>
        <v>3.4722222222222099E-3</v>
      </c>
      <c r="J22" s="7">
        <f>IF(C22="Sim",0,IF(D22="Sim",H22-E22,IF(B22=6, IF(E22&gt;EntradaServiço, Fevereiro!E22-EntradaServiço,0)+ IF(G22-F22&gt;tempo_de_almoço, G22-F22-tempo_de_almoço,0)+IF(H22&lt;saída_sexta,saída_sexta-H22,0),IF(E22&gt;EntradaServiço, Fevereiro!E22-EntradaServiço,0)+ IF(G22-F22&gt;tempo_de_almoço, G22-F22-tempo_de_almoço,0)+IF(H22&lt;saída_normal,saída_normal-H22,0))))</f>
        <v>1.4583333333333358E-2</v>
      </c>
    </row>
    <row r="23" spans="1:10" x14ac:dyDescent="0.25">
      <c r="A23" s="3">
        <f t="shared" si="1"/>
        <v>44245</v>
      </c>
      <c r="B23" s="4">
        <f t="shared" si="0"/>
        <v>5</v>
      </c>
      <c r="C23" s="4" t="s">
        <v>8</v>
      </c>
      <c r="D23" t="s">
        <v>8</v>
      </c>
      <c r="E23" s="2">
        <f t="shared" si="2"/>
        <v>0.31944444444444448</v>
      </c>
      <c r="F23" s="2">
        <f t="shared" si="3"/>
        <v>0.5</v>
      </c>
      <c r="G23" s="2">
        <f t="shared" si="4"/>
        <v>0.54236111111111118</v>
      </c>
      <c r="H23" s="2">
        <f t="shared" si="5"/>
        <v>0.71875</v>
      </c>
      <c r="I23" s="2">
        <f>IF(C23="sim",0,IF(D23="Sim", H23-E23, IF(B23=6,IF(E23&lt;EntradaServiço,EntradaServiço-Fevereiro!E23,0)+IF(Fevereiro!G23-Fevereiro!F23&lt;tempo_de_almoço,Fevereiro!G23-Fevereiro!F23-tempo_de_almoço,0)+IF(Fevereiro!H23&gt;saída_sexta, Fevereiro!H23-saída_sexta,0),IF(E23&lt;EntradaServiço,EntradaServiço-Fevereiro!E23,0)+IF(Fevereiro!G23-Fevereiro!F23&lt;tempo_de_almoço,Fevereiro!G23-Fevereiro!F23-tempo_de_almoço,0)+IF(Fevereiro!H23&gt;saída_normal, Fevereiro!H23-saída_normal,0))))</f>
        <v>3.4722222222222099E-3</v>
      </c>
      <c r="J23" s="7">
        <f>IF(C23="Sim",0,IF(D23="Sim",H23-E23,IF(B23=6, IF(E23&gt;EntradaServiço, Fevereiro!E23-EntradaServiço,0)+ IF(G23-F23&gt;tempo_de_almoço, G23-F23-tempo_de_almoço,0)+IF(H23&lt;saída_sexta,saída_sexta-H23,0),IF(E23&gt;EntradaServiço, Fevereiro!E23-EntradaServiço,0)+ IF(G23-F23&gt;tempo_de_almoço, G23-F23-tempo_de_almoço,0)+IF(H23&lt;saída_normal,saída_normal-H23,0))))</f>
        <v>1.4583333333333358E-2</v>
      </c>
    </row>
    <row r="24" spans="1:10" x14ac:dyDescent="0.25">
      <c r="A24" s="3">
        <f t="shared" si="1"/>
        <v>44246</v>
      </c>
      <c r="B24" s="4">
        <f t="shared" si="0"/>
        <v>6</v>
      </c>
      <c r="C24" s="4" t="s">
        <v>8</v>
      </c>
      <c r="D24" t="s">
        <v>8</v>
      </c>
      <c r="E24" s="2">
        <f t="shared" si="2"/>
        <v>0.31944444444444448</v>
      </c>
      <c r="F24" s="2">
        <f t="shared" si="3"/>
        <v>0.5</v>
      </c>
      <c r="G24" s="2">
        <f t="shared" si="4"/>
        <v>0.54236111111111118</v>
      </c>
      <c r="H24" s="2">
        <f t="shared" si="5"/>
        <v>0.71875</v>
      </c>
      <c r="I24" s="2">
        <f>IF(C24="sim",0,IF(D24="Sim", H24-E24, IF(B24=6,IF(E24&lt;EntradaServiço,EntradaServiço-Fevereiro!E24,0)+IF(Fevereiro!G24-Fevereiro!F24&lt;tempo_de_almoço,Fevereiro!G24-Fevereiro!F24-tempo_de_almoço,0)+IF(Fevereiro!H24&gt;saída_sexta, Fevereiro!H24-saída_sexta,0),IF(E24&lt;EntradaServiço,EntradaServiço-Fevereiro!E24,0)+IF(Fevereiro!G24-Fevereiro!F24&lt;tempo_de_almoço,Fevereiro!G24-Fevereiro!F24-tempo_de_almoço,0)+IF(Fevereiro!H24&gt;saída_normal, Fevereiro!H24-saída_normal,0))))</f>
        <v>3.4722222222222099E-3</v>
      </c>
      <c r="J24" s="7">
        <f>IF(C24="Sim",0,IF(D24="Sim",H24-E24,IF(B24=6, IF(E24&gt;EntradaServiço, Fevereiro!E24-EntradaServiço,0)+ IF(G24-F24&gt;tempo_de_almoço, G24-F24-tempo_de_almoço,0)+IF(H24&lt;saída_sexta,saída_sexta-H24,0),IF(E24&gt;EntradaServiço, Fevereiro!E24-EntradaServiço,0)+ IF(G24-F24&gt;tempo_de_almoço, G24-F24-tempo_de_almoço,0)+IF(H24&lt;saída_normal,saída_normal-H24,0))))</f>
        <v>7.6388888888890491E-3</v>
      </c>
    </row>
    <row r="25" spans="1:10" x14ac:dyDescent="0.25">
      <c r="A25" s="3">
        <f t="shared" si="1"/>
        <v>44247</v>
      </c>
      <c r="B25" s="4">
        <f t="shared" si="0"/>
        <v>7</v>
      </c>
      <c r="C25" s="4" t="s">
        <v>8</v>
      </c>
      <c r="D25" t="s">
        <v>8</v>
      </c>
      <c r="E25" s="2">
        <f t="shared" si="2"/>
        <v>0.31944444444444448</v>
      </c>
      <c r="F25" s="2">
        <f t="shared" si="3"/>
        <v>0.5</v>
      </c>
      <c r="G25" s="2">
        <f t="shared" si="4"/>
        <v>0.54236111111111118</v>
      </c>
      <c r="H25" s="2">
        <f t="shared" si="5"/>
        <v>0.71875</v>
      </c>
      <c r="I25" s="2">
        <f>IF(C25="sim",0,IF(D25="Sim", H25-E25, IF(B25=6,IF(E25&lt;EntradaServiço,EntradaServiço-Fevereiro!E25,0)+IF(Fevereiro!G25-Fevereiro!F25&lt;tempo_de_almoço,Fevereiro!G25-Fevereiro!F25-tempo_de_almoço,0)+IF(Fevereiro!H25&gt;saída_sexta, Fevereiro!H25-saída_sexta,0),IF(E25&lt;EntradaServiço,EntradaServiço-Fevereiro!E25,0)+IF(Fevereiro!G25-Fevereiro!F25&lt;tempo_de_almoço,Fevereiro!G25-Fevereiro!F25-tempo_de_almoço,0)+IF(Fevereiro!H25&gt;saída_normal, Fevereiro!H25-saída_normal,0))))</f>
        <v>3.4722222222222099E-3</v>
      </c>
      <c r="J25" s="7">
        <f>IF(C25="Sim",0,IF(D25="Sim",H25-E25,IF(B25=6, IF(E25&gt;EntradaServiço, Fevereiro!E25-EntradaServiço,0)+ IF(G25-F25&gt;tempo_de_almoço, G25-F25-tempo_de_almoço,0)+IF(H25&lt;saída_sexta,saída_sexta-H25,0),IF(E25&gt;EntradaServiço, Fevereiro!E25-EntradaServiço,0)+ IF(G25-F25&gt;tempo_de_almoço, G25-F25-tempo_de_almoço,0)+IF(H25&lt;saída_normal,saída_normal-H25,0))))</f>
        <v>1.4583333333333358E-2</v>
      </c>
    </row>
    <row r="26" spans="1:10" x14ac:dyDescent="0.25">
      <c r="A26" s="3">
        <f t="shared" si="1"/>
        <v>44248</v>
      </c>
      <c r="B26" s="4">
        <f t="shared" si="0"/>
        <v>1</v>
      </c>
      <c r="C26" s="4" t="s">
        <v>8</v>
      </c>
      <c r="D26" t="s">
        <v>8</v>
      </c>
      <c r="E26" s="2">
        <f t="shared" si="2"/>
        <v>0.31944444444444448</v>
      </c>
      <c r="F26" s="2">
        <f t="shared" si="3"/>
        <v>0.5</v>
      </c>
      <c r="G26" s="2">
        <f t="shared" si="4"/>
        <v>0.54236111111111118</v>
      </c>
      <c r="H26" s="2">
        <f t="shared" si="5"/>
        <v>0.71875</v>
      </c>
      <c r="I26" s="2">
        <f>IF(C26="sim",0,IF(D26="Sim", H26-E26, IF(B26=6,IF(E26&lt;EntradaServiço,EntradaServiço-Fevereiro!E26,0)+IF(Fevereiro!G26-Fevereiro!F26&lt;tempo_de_almoço,Fevereiro!G26-Fevereiro!F26-tempo_de_almoço,0)+IF(Fevereiro!H26&gt;saída_sexta, Fevereiro!H26-saída_sexta,0),IF(E26&lt;EntradaServiço,EntradaServiço-Fevereiro!E26,0)+IF(Fevereiro!G26-Fevereiro!F26&lt;tempo_de_almoço,Fevereiro!G26-Fevereiro!F26-tempo_de_almoço,0)+IF(Fevereiro!H26&gt;saída_normal, Fevereiro!H26-saída_normal,0))))</f>
        <v>3.4722222222222099E-3</v>
      </c>
      <c r="J26" s="7">
        <f>IF(C26="Sim",0,IF(D26="Sim",H26-E26,IF(B26=6, IF(E26&gt;EntradaServiço, Fevereiro!E26-EntradaServiço,0)+ IF(G26-F26&gt;tempo_de_almoço, G26-F26-tempo_de_almoço,0)+IF(H26&lt;saída_sexta,saída_sexta-H26,0),IF(E26&gt;EntradaServiço, Fevereiro!E26-EntradaServiço,0)+ IF(G26-F26&gt;tempo_de_almoço, G26-F26-tempo_de_almoço,0)+IF(H26&lt;saída_normal,saída_normal-H26,0))))</f>
        <v>1.4583333333333358E-2</v>
      </c>
    </row>
    <row r="27" spans="1:10" x14ac:dyDescent="0.25">
      <c r="A27" s="3">
        <f t="shared" si="1"/>
        <v>44249</v>
      </c>
      <c r="B27" s="4">
        <f t="shared" si="0"/>
        <v>2</v>
      </c>
      <c r="C27" s="4" t="s">
        <v>8</v>
      </c>
      <c r="D27" t="s">
        <v>8</v>
      </c>
      <c r="E27" s="2">
        <f t="shared" si="2"/>
        <v>0.31944444444444448</v>
      </c>
      <c r="F27" s="2">
        <f t="shared" si="3"/>
        <v>0.5</v>
      </c>
      <c r="G27" s="2">
        <f t="shared" si="4"/>
        <v>0.54236111111111118</v>
      </c>
      <c r="H27" s="2">
        <f t="shared" si="5"/>
        <v>0.71875</v>
      </c>
      <c r="I27" s="2">
        <f>IF(C27="sim",0,IF(D27="Sim", H27-E27, IF(B27=6,IF(E27&lt;EntradaServiço,EntradaServiço-Fevereiro!E27,0)+IF(Fevereiro!G27-Fevereiro!F27&lt;tempo_de_almoço,Fevereiro!G27-Fevereiro!F27-tempo_de_almoço,0)+IF(Fevereiro!H27&gt;saída_sexta, Fevereiro!H27-saída_sexta,0),IF(E27&lt;EntradaServiço,EntradaServiço-Fevereiro!E27,0)+IF(Fevereiro!G27-Fevereiro!F27&lt;tempo_de_almoço,Fevereiro!G27-Fevereiro!F27-tempo_de_almoço,0)+IF(Fevereiro!H27&gt;saída_normal, Fevereiro!H27-saída_normal,0))))</f>
        <v>3.4722222222222099E-3</v>
      </c>
      <c r="J27" s="7">
        <f>IF(C27="Sim",0,IF(D27="Sim",H27-E27,IF(B27=6, IF(E27&gt;EntradaServiço, Fevereiro!E27-EntradaServiço,0)+ IF(G27-F27&gt;tempo_de_almoço, G27-F27-tempo_de_almoço,0)+IF(H27&lt;saída_sexta,saída_sexta-H27,0),IF(E27&gt;EntradaServiço, Fevereiro!E27-EntradaServiço,0)+ IF(G27-F27&gt;tempo_de_almoço, G27-F27-tempo_de_almoço,0)+IF(H27&lt;saída_normal,saída_normal-H27,0))))</f>
        <v>1.4583333333333358E-2</v>
      </c>
    </row>
    <row r="28" spans="1:10" x14ac:dyDescent="0.25">
      <c r="A28" s="3">
        <f t="shared" si="1"/>
        <v>44250</v>
      </c>
      <c r="B28" s="4">
        <f t="shared" si="0"/>
        <v>3</v>
      </c>
      <c r="C28" s="4" t="s">
        <v>8</v>
      </c>
      <c r="D28" t="s">
        <v>8</v>
      </c>
      <c r="E28" s="2">
        <f t="shared" si="2"/>
        <v>0.31944444444444448</v>
      </c>
      <c r="F28" s="2">
        <f t="shared" si="3"/>
        <v>0.5</v>
      </c>
      <c r="G28" s="2">
        <f t="shared" si="4"/>
        <v>0.54236111111111118</v>
      </c>
      <c r="H28" s="2">
        <f t="shared" si="5"/>
        <v>0.71875</v>
      </c>
      <c r="I28" s="2">
        <f>IF(C28="sim",0,IF(D28="Sim", H28-E28, IF(B28=6,IF(E28&lt;EntradaServiço,EntradaServiço-Fevereiro!E28,0)+IF(Fevereiro!G28-Fevereiro!F28&lt;tempo_de_almoço,Fevereiro!G28-Fevereiro!F28-tempo_de_almoço,0)+IF(Fevereiro!H28&gt;saída_sexta, Fevereiro!H28-saída_sexta,0),IF(E28&lt;EntradaServiço,EntradaServiço-Fevereiro!E28,0)+IF(Fevereiro!G28-Fevereiro!F28&lt;tempo_de_almoço,Fevereiro!G28-Fevereiro!F28-tempo_de_almoço,0)+IF(Fevereiro!H28&gt;saída_normal, Fevereiro!H28-saída_normal,0))))</f>
        <v>3.4722222222222099E-3</v>
      </c>
      <c r="J28" s="7">
        <f>IF(C28="Sim",0,IF(D28="Sim",H28-E28,IF(B28=6, IF(E28&gt;EntradaServiço, Fevereiro!E28-EntradaServiço,0)+ IF(G28-F28&gt;tempo_de_almoço, G28-F28-tempo_de_almoço,0)+IF(H28&lt;saída_sexta,saída_sexta-H28,0),IF(E28&gt;EntradaServiço, Fevereiro!E28-EntradaServiço,0)+ IF(G28-F28&gt;tempo_de_almoço, G28-F28-tempo_de_almoço,0)+IF(H28&lt;saída_normal,saída_normal-H28,0))))</f>
        <v>1.4583333333333358E-2</v>
      </c>
    </row>
    <row r="29" spans="1:10" x14ac:dyDescent="0.25">
      <c r="A29" s="3">
        <f t="shared" si="1"/>
        <v>44251</v>
      </c>
      <c r="B29" s="4">
        <f t="shared" si="0"/>
        <v>4</v>
      </c>
      <c r="C29" s="4" t="s">
        <v>8</v>
      </c>
      <c r="D29" t="s">
        <v>8</v>
      </c>
      <c r="E29" s="2">
        <f t="shared" si="2"/>
        <v>0.31944444444444448</v>
      </c>
      <c r="F29" s="2">
        <f t="shared" si="3"/>
        <v>0.5</v>
      </c>
      <c r="G29" s="2">
        <f t="shared" si="4"/>
        <v>0.54236111111111118</v>
      </c>
      <c r="H29" s="2">
        <f t="shared" si="5"/>
        <v>0.71875</v>
      </c>
      <c r="I29" s="2">
        <f>IF(C29="sim",0,IF(D29="Sim", H29-E29, IF(B29=6,IF(E29&lt;EntradaServiço,EntradaServiço-Fevereiro!E29,0)+IF(Fevereiro!G29-Fevereiro!F29&lt;tempo_de_almoço,Fevereiro!G29-Fevereiro!F29-tempo_de_almoço,0)+IF(Fevereiro!H29&gt;saída_sexta, Fevereiro!H29-saída_sexta,0),IF(E29&lt;EntradaServiço,EntradaServiço-Fevereiro!E29,0)+IF(Fevereiro!G29-Fevereiro!F29&lt;tempo_de_almoço,Fevereiro!G29-Fevereiro!F29-tempo_de_almoço,0)+IF(Fevereiro!H29&gt;saída_normal, Fevereiro!H29-saída_normal,0))))</f>
        <v>3.4722222222222099E-3</v>
      </c>
      <c r="J29" s="7">
        <f>IF(C29="Sim",0,IF(D29="Sim",H29-E29,IF(B29=6, IF(E29&gt;EntradaServiço, Fevereiro!E29-EntradaServiço,0)+ IF(G29-F29&gt;tempo_de_almoço, G29-F29-tempo_de_almoço,0)+IF(H29&lt;saída_sexta,saída_sexta-H29,0),IF(E29&gt;EntradaServiço, Fevereiro!E29-EntradaServiço,0)+ IF(G29-F29&gt;tempo_de_almoço, G29-F29-tempo_de_almoço,0)+IF(H29&lt;saída_normal,saída_normal-H29,0))))</f>
        <v>1.4583333333333358E-2</v>
      </c>
    </row>
    <row r="30" spans="1:10" x14ac:dyDescent="0.25">
      <c r="A30" s="3">
        <f t="shared" si="1"/>
        <v>44252</v>
      </c>
      <c r="B30" s="4">
        <f t="shared" si="0"/>
        <v>5</v>
      </c>
      <c r="C30" s="4" t="s">
        <v>8</v>
      </c>
      <c r="D30" t="s">
        <v>8</v>
      </c>
      <c r="E30" s="2">
        <f t="shared" si="2"/>
        <v>0.31944444444444448</v>
      </c>
      <c r="F30" s="2">
        <f t="shared" si="3"/>
        <v>0.5</v>
      </c>
      <c r="G30" s="2">
        <f t="shared" si="4"/>
        <v>0.54236111111111118</v>
      </c>
      <c r="H30" s="2">
        <f t="shared" si="5"/>
        <v>0.71875</v>
      </c>
      <c r="I30" s="2">
        <f>IF(C30="sim",0,IF(D30="Sim", H30-E30, IF(B30=6,IF(E30&lt;EntradaServiço,EntradaServiço-Fevereiro!E30,0)+IF(Fevereiro!G30-Fevereiro!F30&lt;tempo_de_almoço,Fevereiro!G30-Fevereiro!F30-tempo_de_almoço,0)+IF(Fevereiro!H30&gt;saída_sexta, Fevereiro!H30-saída_sexta,0),IF(E30&lt;EntradaServiço,EntradaServiço-Fevereiro!E30,0)+IF(Fevereiro!G30-Fevereiro!F30&lt;tempo_de_almoço,Fevereiro!G30-Fevereiro!F30-tempo_de_almoço,0)+IF(Fevereiro!H30&gt;saída_normal, Fevereiro!H30-saída_normal,0))))</f>
        <v>3.4722222222222099E-3</v>
      </c>
      <c r="J30" s="7">
        <f>IF(C30="Sim",0,IF(D30="Sim",H30-E30,IF(B30=6, IF(E30&gt;EntradaServiço, Fevereiro!E30-EntradaServiço,0)+ IF(G30-F30&gt;tempo_de_almoço, G30-F30-tempo_de_almoço,0)+IF(H30&lt;saída_sexta,saída_sexta-H30,0),IF(E30&gt;EntradaServiço, Fevereiro!E30-EntradaServiço,0)+ IF(G30-F30&gt;tempo_de_almoço, G30-F30-tempo_de_almoço,0)+IF(H30&lt;saída_normal,saída_normal-H30,0))))</f>
        <v>1.4583333333333358E-2</v>
      </c>
    </row>
    <row r="31" spans="1:10" x14ac:dyDescent="0.25">
      <c r="A31" s="3">
        <f t="shared" si="1"/>
        <v>44253</v>
      </c>
      <c r="B31" s="4">
        <f t="shared" si="0"/>
        <v>6</v>
      </c>
      <c r="C31" s="4" t="s">
        <v>8</v>
      </c>
      <c r="D31" t="s">
        <v>8</v>
      </c>
      <c r="E31" s="2">
        <f t="shared" si="2"/>
        <v>0.31944444444444448</v>
      </c>
      <c r="F31" s="2">
        <f t="shared" si="3"/>
        <v>0.5</v>
      </c>
      <c r="G31" s="2">
        <f t="shared" si="4"/>
        <v>0.54236111111111118</v>
      </c>
      <c r="H31" s="2">
        <f t="shared" si="5"/>
        <v>0.71875</v>
      </c>
      <c r="I31" s="2">
        <f>IF(C31="sim",0,IF(D31="Sim", H31-E31, IF(B31=6,IF(E31&lt;EntradaServiço,EntradaServiço-Fevereiro!E31,0)+IF(Fevereiro!G31-Fevereiro!F31&lt;tempo_de_almoço,Fevereiro!G31-Fevereiro!F31-tempo_de_almoço,0)+IF(Fevereiro!H31&gt;saída_sexta, Fevereiro!H31-saída_sexta,0),IF(E31&lt;EntradaServiço,EntradaServiço-Fevereiro!E31,0)+IF(Fevereiro!G31-Fevereiro!F31&lt;tempo_de_almoço,Fevereiro!G31-Fevereiro!F31-tempo_de_almoço,0)+IF(Fevereiro!H31&gt;saída_normal, Fevereiro!H31-saída_normal,0))))</f>
        <v>3.4722222222222099E-3</v>
      </c>
      <c r="J31" s="7">
        <f>IF(C31="Sim",0,IF(D31="Sim",H31-E31,IF(B31=6, IF(E31&gt;EntradaServiço, Fevereiro!E31-EntradaServiço,0)+ IF(G31-F31&gt;tempo_de_almoço, G31-F31-tempo_de_almoço,0)+IF(H31&lt;saída_sexta,saída_sexta-H31,0),IF(E31&gt;EntradaServiço, Fevereiro!E31-EntradaServiço,0)+ IF(G31-F31&gt;tempo_de_almoço, G31-F31-tempo_de_almoço,0)+IF(H31&lt;saída_normal,saída_normal-H31,0))))</f>
        <v>7.6388888888890491E-3</v>
      </c>
    </row>
    <row r="32" spans="1:10" x14ac:dyDescent="0.25">
      <c r="A32" s="3">
        <f t="shared" si="1"/>
        <v>44254</v>
      </c>
      <c r="B32" s="4">
        <f t="shared" si="0"/>
        <v>7</v>
      </c>
      <c r="C32" s="4" t="s">
        <v>8</v>
      </c>
      <c r="D32" t="s">
        <v>8</v>
      </c>
      <c r="E32" s="2">
        <f t="shared" si="2"/>
        <v>0.31944444444444448</v>
      </c>
      <c r="F32" s="2">
        <f t="shared" si="3"/>
        <v>0.5</v>
      </c>
      <c r="G32" s="2">
        <f t="shared" si="4"/>
        <v>0.54236111111111118</v>
      </c>
      <c r="H32" s="2">
        <f t="shared" si="5"/>
        <v>0.71875</v>
      </c>
      <c r="I32" s="2">
        <f>IF(C32="sim",0,IF(D32="Sim", H32-E32, IF(B32=6,IF(E32&lt;EntradaServiço,EntradaServiço-Fevereiro!E32,0)+IF(Fevereiro!G32-Fevereiro!F32&lt;tempo_de_almoço,Fevereiro!G32-Fevereiro!F32-tempo_de_almoço,0)+IF(Fevereiro!H32&gt;saída_sexta, Fevereiro!H32-saída_sexta,0),IF(E32&lt;EntradaServiço,EntradaServiço-Fevereiro!E32,0)+IF(Fevereiro!G32-Fevereiro!F32&lt;tempo_de_almoço,Fevereiro!G32-Fevereiro!F32-tempo_de_almoço,0)+IF(Fevereiro!H32&gt;saída_normal, Fevereiro!H32-saída_normal,0))))</f>
        <v>3.4722222222222099E-3</v>
      </c>
      <c r="J32" s="7">
        <f>IF(C32="Sim",0,IF(D32="Sim",H32-E32,IF(B32=6, IF(E32&gt;EntradaServiço, Fevereiro!E32-EntradaServiço,0)+ IF(G32-F32&gt;tempo_de_almoço, G32-F32-tempo_de_almoço,0)+IF(H32&lt;saída_sexta,saída_sexta-H32,0),IF(E32&gt;EntradaServiço, Fevereiro!E32-EntradaServiço,0)+ IF(G32-F32&gt;tempo_de_almoço, G32-F32-tempo_de_almoço,0)+IF(H32&lt;saída_normal,saída_normal-H32,0))))</f>
        <v>1.4583333333333358E-2</v>
      </c>
    </row>
    <row r="33" spans="1:10" x14ac:dyDescent="0.25">
      <c r="A33" s="3">
        <f t="shared" si="1"/>
        <v>44255</v>
      </c>
      <c r="B33" s="4">
        <f t="shared" si="0"/>
        <v>1</v>
      </c>
      <c r="C33" s="4" t="s">
        <v>8</v>
      </c>
      <c r="D33" t="s">
        <v>8</v>
      </c>
      <c r="E33" s="2">
        <f t="shared" si="2"/>
        <v>0.31944444444444448</v>
      </c>
      <c r="F33" s="2">
        <f t="shared" si="3"/>
        <v>0.5</v>
      </c>
      <c r="G33" s="2">
        <f t="shared" si="4"/>
        <v>0.54236111111111118</v>
      </c>
      <c r="H33" s="2">
        <f t="shared" si="5"/>
        <v>0.71875</v>
      </c>
      <c r="I33" s="2">
        <f>IF(C33="sim",0,IF(D33="Sim", H33-E33, IF(B33=6,IF(E33&lt;EntradaServiço,EntradaServiço-Fevereiro!E33,0)+IF(Fevereiro!G33-Fevereiro!F33&lt;tempo_de_almoço,Fevereiro!G33-Fevereiro!F33-tempo_de_almoço,0)+IF(Fevereiro!H33&gt;saída_sexta, Fevereiro!H33-saída_sexta,0),IF(E33&lt;EntradaServiço,EntradaServiço-Fevereiro!E33,0)+IF(Fevereiro!G33-Fevereiro!F33&lt;tempo_de_almoço,Fevereiro!G33-Fevereiro!F33-tempo_de_almoço,0)+IF(Fevereiro!H33&gt;saída_normal, Fevereiro!H33-saída_normal,0))))</f>
        <v>3.4722222222222099E-3</v>
      </c>
      <c r="J33" s="7">
        <f>IF(C33="Sim",0,IF(D33="Sim",H33-E33,IF(B33=6, IF(E33&gt;EntradaServiço, Fevereiro!E33-EntradaServiço,0)+ IF(G33-F33&gt;tempo_de_almoço, G33-F33-tempo_de_almoço,0)+IF(H33&lt;saída_sexta,saída_sexta-H33,0),IF(E33&gt;EntradaServiço, Fevereiro!E33-EntradaServiço,0)+ IF(G33-F33&gt;tempo_de_almoço, G33-F33-tempo_de_almoço,0)+IF(H33&lt;saída_normal,saída_normal-H33,0))))</f>
        <v>1.4583333333333358E-2</v>
      </c>
    </row>
    <row r="34" spans="1:10" x14ac:dyDescent="0.25">
      <c r="A34" s="3"/>
      <c r="B34" s="3"/>
      <c r="C34" s="3"/>
      <c r="I34" s="2"/>
      <c r="J34" s="2"/>
    </row>
    <row r="35" spans="1:10" x14ac:dyDescent="0.25">
      <c r="A35" s="3"/>
      <c r="B35" s="3"/>
      <c r="C35" s="3"/>
      <c r="I35" s="2"/>
      <c r="J35" s="2"/>
    </row>
    <row r="36" spans="1:10" x14ac:dyDescent="0.25">
      <c r="A36" s="3"/>
      <c r="B36" s="3"/>
      <c r="C36" s="3"/>
      <c r="I36" s="2"/>
      <c r="J36" s="2"/>
    </row>
    <row r="37" spans="1:10" x14ac:dyDescent="0.25">
      <c r="A37" s="3"/>
      <c r="B37" s="3"/>
      <c r="C37" s="3"/>
      <c r="I37" s="2"/>
      <c r="J37" s="2"/>
    </row>
    <row r="38" spans="1:10" x14ac:dyDescent="0.25">
      <c r="A38" s="3"/>
      <c r="B38" s="3"/>
      <c r="C38" s="3"/>
    </row>
    <row r="39" spans="1:10" x14ac:dyDescent="0.25">
      <c r="A39" s="3"/>
      <c r="B39" s="3"/>
      <c r="C39" s="3"/>
    </row>
    <row r="40" spans="1:10" x14ac:dyDescent="0.25">
      <c r="A40" s="3"/>
      <c r="B40" s="3"/>
      <c r="C40" s="3"/>
    </row>
    <row r="41" spans="1:10" x14ac:dyDescent="0.25">
      <c r="A41" s="3"/>
      <c r="B41" s="3"/>
      <c r="C41" s="3"/>
    </row>
    <row r="42" spans="1:10" x14ac:dyDescent="0.25">
      <c r="A42" s="3"/>
      <c r="B42" s="3"/>
      <c r="C42" s="3"/>
    </row>
  </sheetData>
  <mergeCells count="1">
    <mergeCell ref="G1:N1"/>
  </mergeCells>
  <dataValidations count="1">
    <dataValidation type="list" allowBlank="1" showInputMessage="1" showErrorMessage="1" sqref="C6:D33" xr:uid="{344D016A-1A4D-472C-B3B1-0192AC821D25}">
      <formula1>opçôesFeriado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508DA-EACF-4657-AD9F-967CE990F473}">
  <sheetPr codeName="Planilha2"/>
  <dimension ref="A1:O15"/>
  <sheetViews>
    <sheetView workbookViewId="0">
      <selection activeCell="H13" sqref="H13"/>
    </sheetView>
  </sheetViews>
  <sheetFormatPr defaultRowHeight="15" x14ac:dyDescent="0.25"/>
  <cols>
    <col min="1" max="1" width="18.42578125" customWidth="1"/>
    <col min="6" max="6" width="9.140625" customWidth="1"/>
    <col min="10" max="10" width="19.140625" customWidth="1"/>
  </cols>
  <sheetData>
    <row r="1" spans="1:15" x14ac:dyDescent="0.25">
      <c r="G1" s="5" t="s">
        <v>1</v>
      </c>
      <c r="H1" s="5"/>
      <c r="I1" s="5"/>
      <c r="J1" s="5"/>
      <c r="K1" s="5"/>
      <c r="L1" s="5"/>
      <c r="M1" s="5"/>
      <c r="N1" s="5"/>
      <c r="O1" s="5"/>
    </row>
    <row r="3" spans="1:15" x14ac:dyDescent="0.25">
      <c r="A3" t="s">
        <v>6</v>
      </c>
      <c r="C3" s="5"/>
      <c r="D3" s="5"/>
    </row>
    <row r="4" spans="1:15" x14ac:dyDescent="0.25">
      <c r="A4" t="s">
        <v>7</v>
      </c>
      <c r="C4" s="1"/>
      <c r="D4" s="1"/>
    </row>
    <row r="5" spans="1:15" x14ac:dyDescent="0.25">
      <c r="A5" t="s">
        <v>8</v>
      </c>
      <c r="C5" s="2"/>
      <c r="D5" s="2"/>
    </row>
    <row r="10" spans="1:15" x14ac:dyDescent="0.25">
      <c r="B10" s="5" t="s">
        <v>19</v>
      </c>
      <c r="C10" s="5"/>
      <c r="D10" s="5"/>
    </row>
    <row r="11" spans="1:15" x14ac:dyDescent="0.25">
      <c r="A11" t="s">
        <v>20</v>
      </c>
      <c r="B11" s="6">
        <v>0</v>
      </c>
      <c r="C11" s="5"/>
      <c r="D11" s="5"/>
    </row>
    <row r="12" spans="1:15" x14ac:dyDescent="0.25">
      <c r="A12" t="s">
        <v>14</v>
      </c>
      <c r="B12" s="6">
        <v>0.32291666666666669</v>
      </c>
      <c r="C12" s="5"/>
      <c r="D12" s="5"/>
    </row>
    <row r="13" spans="1:15" x14ac:dyDescent="0.25">
      <c r="A13" t="s">
        <v>15</v>
      </c>
      <c r="B13" s="6">
        <v>0.72569444444444453</v>
      </c>
      <c r="C13" s="5"/>
      <c r="D13" s="5"/>
      <c r="F13" s="2"/>
    </row>
    <row r="14" spans="1:15" x14ac:dyDescent="0.25">
      <c r="A14" t="s">
        <v>16</v>
      </c>
      <c r="B14" s="6">
        <v>0.73263888888888884</v>
      </c>
      <c r="C14" s="5"/>
      <c r="D14" s="5"/>
      <c r="F14" s="2"/>
    </row>
    <row r="15" spans="1:15" x14ac:dyDescent="0.25">
      <c r="A15" t="s">
        <v>17</v>
      </c>
      <c r="B15" s="6">
        <v>4.1666666666666664E-2</v>
      </c>
      <c r="C15" s="5"/>
      <c r="D15" s="5"/>
    </row>
  </sheetData>
  <mergeCells count="8">
    <mergeCell ref="G1:O1"/>
    <mergeCell ref="C3:D3"/>
    <mergeCell ref="B15:D15"/>
    <mergeCell ref="B10:D10"/>
    <mergeCell ref="B11:D11"/>
    <mergeCell ref="B12:D12"/>
    <mergeCell ref="B13:D13"/>
    <mergeCell ref="B14:D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Fevereiro</vt:lpstr>
      <vt:lpstr>configurações</vt:lpstr>
      <vt:lpstr>EntradaServiço</vt:lpstr>
      <vt:lpstr>opçôesFeriado</vt:lpstr>
      <vt:lpstr>saída_normal</vt:lpstr>
      <vt:lpstr>saída_sexta</vt:lpstr>
      <vt:lpstr>tempo_de_almoço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gfeli</dc:creator>
  <cp:lastModifiedBy>gfeli</cp:lastModifiedBy>
  <dcterms:created xsi:type="dcterms:W3CDTF">2021-01-27T18:07:16Z</dcterms:created>
  <dcterms:modified xsi:type="dcterms:W3CDTF">2021-01-29T17:19:21Z</dcterms:modified>
</cp:coreProperties>
</file>