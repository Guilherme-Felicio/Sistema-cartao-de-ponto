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feli\Desktop\cartãoDePonto\"/>
    </mc:Choice>
  </mc:AlternateContent>
  <xr:revisionPtr revIDLastSave="0" documentId="13_ncr:1_{3449FD98-8EF9-4D6D-93B6-231FA0B0FA8F}" xr6:coauthVersionLast="46" xr6:coauthVersionMax="46" xr10:uidLastSave="{00000000-0000-0000-0000-000000000000}"/>
  <bookViews>
    <workbookView xWindow="-120" yWindow="-120" windowWidth="20730" windowHeight="11160" activeTab="1" xr2:uid="{B4A0CF95-5387-4B9D-A6EC-17CAAC5ECB36}"/>
  </bookViews>
  <sheets>
    <sheet name="Fevereiro" sheetId="1" r:id="rId1"/>
    <sheet name="configurações" sheetId="2" r:id="rId2"/>
  </sheets>
  <definedNames>
    <definedName name="EntradaServiço">configurações!$B$12</definedName>
    <definedName name="Horario_maximo">configurações!$B$16</definedName>
    <definedName name="opçôesFeriado">configurações!$A$4:$A$5</definedName>
    <definedName name="saída_normal">configurações!$B$14</definedName>
    <definedName name="saída_sexta">configurações!$B$13</definedName>
    <definedName name="tempo_de_almoço">configurações!$B$15</definedName>
    <definedName name="zero">configurações!$B$11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1" l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6" i="1"/>
  <c r="J6" i="1"/>
  <c r="A6" i="1"/>
  <c r="B6" i="1" s="1"/>
  <c r="A7" i="1" l="1"/>
  <c r="B7" i="1" s="1"/>
  <c r="A8" i="1" l="1"/>
  <c r="A9" i="1" l="1"/>
  <c r="B8" i="1"/>
  <c r="A10" i="1" l="1"/>
  <c r="B9" i="1"/>
  <c r="A11" i="1" l="1"/>
  <c r="B10" i="1"/>
  <c r="A12" i="1" l="1"/>
  <c r="B11" i="1"/>
  <c r="A13" i="1" l="1"/>
  <c r="B12" i="1"/>
  <c r="A14" i="1" l="1"/>
  <c r="B13" i="1"/>
  <c r="A15" i="1" l="1"/>
  <c r="B14" i="1"/>
  <c r="A16" i="1" l="1"/>
  <c r="B15" i="1"/>
  <c r="A17" i="1" l="1"/>
  <c r="B16" i="1"/>
  <c r="A18" i="1" l="1"/>
  <c r="B17" i="1"/>
  <c r="A19" i="1" l="1"/>
  <c r="B18" i="1"/>
  <c r="A20" i="1" l="1"/>
  <c r="B19" i="1"/>
  <c r="A21" i="1" l="1"/>
  <c r="B20" i="1"/>
  <c r="A22" i="1" l="1"/>
  <c r="B21" i="1"/>
  <c r="A23" i="1" l="1"/>
  <c r="B22" i="1"/>
  <c r="A24" i="1" l="1"/>
  <c r="B23" i="1"/>
  <c r="A25" i="1" l="1"/>
  <c r="B24" i="1"/>
  <c r="A26" i="1" l="1"/>
  <c r="B25" i="1"/>
  <c r="A27" i="1" l="1"/>
  <c r="B26" i="1"/>
  <c r="A28" i="1" l="1"/>
  <c r="B27" i="1"/>
  <c r="A29" i="1" l="1"/>
  <c r="B28" i="1"/>
  <c r="A30" i="1" l="1"/>
  <c r="B29" i="1"/>
  <c r="A31" i="1" l="1"/>
  <c r="B30" i="1"/>
  <c r="A32" i="1" l="1"/>
  <c r="B31" i="1"/>
  <c r="A33" i="1" l="1"/>
  <c r="B33" i="1" s="1"/>
  <c r="B32" i="1"/>
</calcChain>
</file>

<file path=xl/sharedStrings.xml><?xml version="1.0" encoding="utf-8"?>
<sst xmlns="http://schemas.openxmlformats.org/spreadsheetml/2006/main" count="80" uniqueCount="24">
  <si>
    <t>Configurações</t>
  </si>
  <si>
    <t>Feriado</t>
  </si>
  <si>
    <t>Saída p/ almoço</t>
  </si>
  <si>
    <t>Volta do almoço</t>
  </si>
  <si>
    <t>Saída serviço</t>
  </si>
  <si>
    <t xml:space="preserve">caixa de opções </t>
  </si>
  <si>
    <t>Sim</t>
  </si>
  <si>
    <t>Não</t>
  </si>
  <si>
    <t>Dia do ano</t>
  </si>
  <si>
    <t>Dia</t>
  </si>
  <si>
    <t>Entrada de Serviço:</t>
  </si>
  <si>
    <t>saída sexta</t>
  </si>
  <si>
    <t>saída normal</t>
  </si>
  <si>
    <t>tempo de almoço</t>
  </si>
  <si>
    <t>Horário de chegada</t>
  </si>
  <si>
    <t>Lista para auxiliar nos cálculos</t>
  </si>
  <si>
    <t>Zero</t>
  </si>
  <si>
    <t>Faltou</t>
  </si>
  <si>
    <t>Adicionar descontos</t>
  </si>
  <si>
    <t>Horario maximo</t>
  </si>
  <si>
    <t>Fevereiro</t>
  </si>
  <si>
    <t>Total tempo extras</t>
  </si>
  <si>
    <t>Total tempo descontado</t>
  </si>
  <si>
    <t>Avisos. Clique aqui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</si>
</sst>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horizontal="left"/>
    </xf>
    <xf numFmtId="20" fontId="0" fillId="0" borderId="0" xfId="0" applyNumberFormat="1" applyFont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164" fontId="0" fillId="0" borderId="0" xfId="0" applyNumberFormat="1" applyAlignment="1" applyProtection="1">
      <alignment horizontal="left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0C8D7-CE40-4CB3-B4AC-7FCE2A30E165}">
  <sheetPr codeName="Planilha1"/>
  <dimension ref="A1:N42"/>
  <sheetViews>
    <sheetView workbookViewId="0">
      <selection activeCell="J5" sqref="J5"/>
    </sheetView>
  </sheetViews>
  <sheetFormatPr defaultRowHeight="15" x14ac:dyDescent="0.25"/>
  <cols>
    <col min="1" max="1" width="10.7109375" customWidth="1"/>
    <col min="2" max="3" width="6.85546875" customWidth="1"/>
    <col min="4" max="4" width="11" customWidth="1"/>
    <col min="5" max="5" width="17.5703125" customWidth="1"/>
    <col min="6" max="6" width="15.5703125" customWidth="1"/>
    <col min="7" max="7" width="15.7109375" customWidth="1"/>
    <col min="8" max="8" width="12.85546875" customWidth="1"/>
    <col min="9" max="9" width="17.7109375" customWidth="1"/>
    <col min="10" max="10" width="24.5703125" customWidth="1"/>
    <col min="11" max="11" width="19" customWidth="1"/>
    <col min="12" max="12" width="19.42578125" customWidth="1"/>
  </cols>
  <sheetData>
    <row r="1" spans="1:14" x14ac:dyDescent="0.25">
      <c r="D1" s="14" t="s">
        <v>20</v>
      </c>
      <c r="E1" s="14"/>
      <c r="F1" s="14"/>
      <c r="G1" s="14"/>
      <c r="H1" s="14"/>
      <c r="I1" s="14"/>
      <c r="J1" s="14"/>
      <c r="M1" s="8"/>
      <c r="N1" s="8"/>
    </row>
    <row r="2" spans="1:14" x14ac:dyDescent="0.25">
      <c r="G2" s="15" t="s">
        <v>23</v>
      </c>
      <c r="H2" s="15"/>
    </row>
    <row r="3" spans="1:14" x14ac:dyDescent="0.25">
      <c r="A3" s="3"/>
      <c r="B3" s="3"/>
      <c r="C3" s="3"/>
    </row>
    <row r="4" spans="1:14" x14ac:dyDescent="0.25">
      <c r="A4" s="3"/>
      <c r="B4" s="3"/>
      <c r="C4" s="3"/>
    </row>
    <row r="5" spans="1:14" x14ac:dyDescent="0.25">
      <c r="A5" t="s">
        <v>8</v>
      </c>
      <c r="B5" t="s">
        <v>9</v>
      </c>
      <c r="C5" t="s">
        <v>17</v>
      </c>
      <c r="D5" t="s">
        <v>1</v>
      </c>
      <c r="E5" t="s">
        <v>14</v>
      </c>
      <c r="F5" t="s">
        <v>2</v>
      </c>
      <c r="G5" t="s">
        <v>3</v>
      </c>
      <c r="H5" t="s">
        <v>4</v>
      </c>
      <c r="I5" t="s">
        <v>21</v>
      </c>
      <c r="J5" t="s">
        <v>22</v>
      </c>
      <c r="K5" t="s">
        <v>18</v>
      </c>
    </row>
    <row r="6" spans="1:14" x14ac:dyDescent="0.25">
      <c r="A6" s="3">
        <f>DATE(2021,2,1)</f>
        <v>44228</v>
      </c>
      <c r="B6" s="4">
        <f t="shared" ref="B6:B33" si="0">WEEKDAY(A6)</f>
        <v>2</v>
      </c>
      <c r="C6" s="11" t="s">
        <v>7</v>
      </c>
      <c r="D6" s="9" t="s">
        <v>7</v>
      </c>
      <c r="E6" s="10">
        <v>0</v>
      </c>
      <c r="F6" s="10">
        <v>0</v>
      </c>
      <c r="G6" s="10">
        <v>0</v>
      </c>
      <c r="H6" s="10">
        <v>2.0833333333333333E-3</v>
      </c>
      <c r="I6" s="2">
        <f>IF(C6="sim",zero,IF(D6="Sim", H6-E6,IF(OR(E6=zero,F6=zero,G6=zero,H6=zero),zero, IF(B6=6,IF(E6&lt;EntradaServiço,EntradaServiço-Fevereiro!E6,0)+IF(Fevereiro!G6-Fevereiro!F6&lt;tempo_de_almoço,tempo_de_almoço-(Fevereiro!G6-Fevereiro!F6),0)+IF(Fevereiro!H6&gt;saída_sexta, Fevereiro!H6-saída_sexta,zero),IF(E6&lt;EntradaServiço,EntradaServiço-Fevereiro!E6,zero)+IF(Fevereiro!G6-Fevereiro!F6&lt;tempo_de_almoço,tempo_de_almoço-(Fevereiro!G6-Fevereiro!F6),zero)+IF(Fevereiro!H6&gt;saída_normal, Fevereiro!H6-saída_normal,zero)))))</f>
        <v>0</v>
      </c>
      <c r="J6" s="5">
        <f>IF(C6="Sim",zero,IF(D6="Sim",H6-E6,IF(OR(E6=zero,F6=zero,G6=zero,H6=zero),zero,IF(B6=6, IF(E6&gt;EntradaServiço, Fevereiro!E6-EntradaServiço,0)+ IF(G6-F6&gt;tempo_de_almoço, G6-F6-tempo_de_almoço,0)+IF(H6&lt;saída_sexta,saída_sexta-H6,0),IF(E6&gt;EntradaServiço, Fevereiro!E6-EntradaServiço,0)+ IF(G6-F6&gt;tempo_de_almoço, G6-F6-tempo_de_almoço,0)+IF(H6&lt;saída_normal,saída_normal-H6,0)))))+K6</f>
        <v>0</v>
      </c>
      <c r="K6" s="10">
        <v>0</v>
      </c>
      <c r="L6" s="2"/>
      <c r="M6" s="2"/>
    </row>
    <row r="7" spans="1:14" x14ac:dyDescent="0.25">
      <c r="A7" s="3">
        <f>A6+1</f>
        <v>44229</v>
      </c>
      <c r="B7" s="4">
        <f t="shared" si="0"/>
        <v>3</v>
      </c>
      <c r="C7" s="11" t="s">
        <v>7</v>
      </c>
      <c r="D7" s="9" t="s">
        <v>7</v>
      </c>
      <c r="E7" s="10">
        <v>0</v>
      </c>
      <c r="F7" s="10">
        <v>0</v>
      </c>
      <c r="G7" s="10">
        <v>0</v>
      </c>
      <c r="H7" s="10">
        <v>4.3749999999999997E-2</v>
      </c>
      <c r="I7" s="2">
        <f>IF(C7="sim",zero,IF(D7="Sim", H7-E7,IF(OR(E7=zero,F7=zero,G7=zero,H7=zero),zero, IF(B7=6,IF(E7&lt;EntradaServiço,EntradaServiço-Fevereiro!E7,0)+IF(Fevereiro!G7-Fevereiro!F7&lt;tempo_de_almoço,tempo_de_almoço-(Fevereiro!G7-Fevereiro!F7),0)+IF(Fevereiro!H7&gt;saída_sexta, Fevereiro!H7-saída_sexta,zero),IF(E7&lt;EntradaServiço,EntradaServiço-Fevereiro!E7,zero)+IF(Fevereiro!G7-Fevereiro!F7&lt;tempo_de_almoço,tempo_de_almoço-(Fevereiro!G7-Fevereiro!F7),zero)+IF(Fevereiro!H7&gt;saída_normal, Fevereiro!H7-saída_normal,zero)))))</f>
        <v>0</v>
      </c>
      <c r="J7" s="5">
        <f>IF(C7="Sim",zero,IF(D7="Sim",H7-E7,IF(OR(E7=zero,F7=zero,G7=zero,H7=zero),zero,IF(B7=6, IF(E7&gt;EntradaServiço, Fevereiro!E7-EntradaServiço,0)+ IF(G7-F7&gt;tempo_de_almoço, G7-F7-tempo_de_almoço,0)+IF(H7&lt;saída_sexta,saída_sexta-H7,0),IF(E7&gt;EntradaServiço, Fevereiro!E7-EntradaServiço,0)+ IF(G7-F7&gt;tempo_de_almoço, G7-F7-tempo_de_almoço,0)+IF(H7&lt;saída_normal,saída_normal-H7,0)))))+K7</f>
        <v>0</v>
      </c>
      <c r="K7" s="10">
        <v>0</v>
      </c>
    </row>
    <row r="8" spans="1:14" x14ac:dyDescent="0.25">
      <c r="A8" s="3">
        <f t="shared" ref="A8:A33" si="1">A7+1</f>
        <v>44230</v>
      </c>
      <c r="B8" s="4">
        <f t="shared" si="0"/>
        <v>4</v>
      </c>
      <c r="C8" s="11" t="s">
        <v>7</v>
      </c>
      <c r="D8" s="9" t="s">
        <v>7</v>
      </c>
      <c r="E8" s="10">
        <v>0</v>
      </c>
      <c r="F8" s="10">
        <v>0</v>
      </c>
      <c r="G8" s="10">
        <v>0</v>
      </c>
      <c r="H8" s="10">
        <v>0</v>
      </c>
      <c r="I8" s="2">
        <f>IF(C8="sim",zero,IF(D8="Sim", H8-E8,IF(OR(E8=zero,F8=zero,G8=zero,H8=zero),zero, IF(B8=6,IF(E8&lt;EntradaServiço,EntradaServiço-Fevereiro!E8,0)+IF(Fevereiro!G8-Fevereiro!F8&lt;tempo_de_almoço,tempo_de_almoço-(Fevereiro!G8-Fevereiro!F8),0)+IF(Fevereiro!H8&gt;saída_sexta, Fevereiro!H8-saída_sexta,zero),IF(E8&lt;EntradaServiço,EntradaServiço-Fevereiro!E8,zero)+IF(Fevereiro!G8-Fevereiro!F8&lt;tempo_de_almoço,tempo_de_almoço-(Fevereiro!G8-Fevereiro!F8),zero)+IF(Fevereiro!H8&gt;saída_normal, Fevereiro!H8-saída_normal,zero)))))</f>
        <v>0</v>
      </c>
      <c r="J8" s="5">
        <f>IF(C8="Sim",zero,IF(D8="Sim",H8-E8,IF(OR(E8=zero,F8=zero,G8=zero,H8=zero),zero,IF(B8=6, IF(E8&gt;EntradaServiço, Fevereiro!E8-EntradaServiço,0)+ IF(G8-F8&gt;tempo_de_almoço, G8-F8-tempo_de_almoço,0)+IF(H8&lt;saída_sexta,saída_sexta-H8,0),IF(E8&gt;EntradaServiço, Fevereiro!E8-EntradaServiço,0)+ IF(G8-F8&gt;tempo_de_almoço, G8-F8-tempo_de_almoço,0)+IF(H8&lt;saída_normal,saída_normal-H8,0)))))+K8</f>
        <v>0</v>
      </c>
      <c r="K8" s="10">
        <v>0</v>
      </c>
    </row>
    <row r="9" spans="1:14" x14ac:dyDescent="0.25">
      <c r="A9" s="3">
        <f t="shared" si="1"/>
        <v>44231</v>
      </c>
      <c r="B9" s="4">
        <f t="shared" si="0"/>
        <v>5</v>
      </c>
      <c r="C9" s="11" t="s">
        <v>7</v>
      </c>
      <c r="D9" s="9" t="s">
        <v>7</v>
      </c>
      <c r="E9" s="10">
        <v>0</v>
      </c>
      <c r="F9" s="10">
        <v>0</v>
      </c>
      <c r="G9" s="10">
        <v>0</v>
      </c>
      <c r="H9" s="10">
        <v>0</v>
      </c>
      <c r="I9" s="2">
        <f>IF(C9="sim",zero,IF(D9="Sim", H9-E9,IF(OR(E9=zero,F9=zero,G9=zero,H9=zero),zero, IF(B9=6,IF(E9&lt;EntradaServiço,EntradaServiço-Fevereiro!E9,0)+IF(Fevereiro!G9-Fevereiro!F9&lt;tempo_de_almoço,tempo_de_almoço-(Fevereiro!G9-Fevereiro!F9),0)+IF(Fevereiro!H9&gt;saída_sexta, Fevereiro!H9-saída_sexta,zero),IF(E9&lt;EntradaServiço,EntradaServiço-Fevereiro!E9,zero)+IF(Fevereiro!G9-Fevereiro!F9&lt;tempo_de_almoço,tempo_de_almoço-(Fevereiro!G9-Fevereiro!F9),zero)+IF(Fevereiro!H9&gt;saída_normal, Fevereiro!H9-saída_normal,zero)))))</f>
        <v>0</v>
      </c>
      <c r="J9" s="5">
        <f>IF(C9="Sim",zero,IF(D9="Sim",H9-E9,IF(OR(E9=zero,F9=zero,G9=zero,H9=zero),zero,IF(B9=6, IF(E9&gt;EntradaServiço, Fevereiro!E9-EntradaServiço,0)+ IF(G9-F9&gt;tempo_de_almoço, G9-F9-tempo_de_almoço,0)+IF(H9&lt;saída_sexta,saída_sexta-H9,0),IF(E9&gt;EntradaServiço, Fevereiro!E9-EntradaServiço,0)+ IF(G9-F9&gt;tempo_de_almoço, G9-F9-tempo_de_almoço,0)+IF(H9&lt;saída_normal,saída_normal-H9,0)))))+K9</f>
        <v>0</v>
      </c>
      <c r="K9" s="10">
        <v>0</v>
      </c>
    </row>
    <row r="10" spans="1:14" x14ac:dyDescent="0.25">
      <c r="A10" s="3">
        <f t="shared" si="1"/>
        <v>44232</v>
      </c>
      <c r="B10" s="4">
        <f t="shared" si="0"/>
        <v>6</v>
      </c>
      <c r="C10" s="11" t="s">
        <v>7</v>
      </c>
      <c r="D10" s="9" t="s">
        <v>7</v>
      </c>
      <c r="E10" s="10">
        <v>0</v>
      </c>
      <c r="F10" s="10">
        <v>0</v>
      </c>
      <c r="G10" s="10">
        <v>0</v>
      </c>
      <c r="H10" s="10">
        <v>0</v>
      </c>
      <c r="I10" s="2">
        <f>IF(C10="sim",zero,IF(D10="Sim", H10-E10,IF(OR(E10=zero,F10=zero,G10=zero,H10=zero),zero, IF(B10=6,IF(E10&lt;EntradaServiço,EntradaServiço-Fevereiro!E10,0)+IF(Fevereiro!G10-Fevereiro!F10&lt;tempo_de_almoço,tempo_de_almoço-(Fevereiro!G10-Fevereiro!F10),0)+IF(Fevereiro!H10&gt;saída_sexta, Fevereiro!H10-saída_sexta,zero),IF(E10&lt;EntradaServiço,EntradaServiço-Fevereiro!E10,zero)+IF(Fevereiro!G10-Fevereiro!F10&lt;tempo_de_almoço,tempo_de_almoço-(Fevereiro!G10-Fevereiro!F10),zero)+IF(Fevereiro!H10&gt;saída_normal, Fevereiro!H10-saída_normal,zero)))))</f>
        <v>0</v>
      </c>
      <c r="J10" s="5">
        <f>IF(C10="Sim",zero,IF(D10="Sim",H10-E10,IF(OR(E10=zero,F10=zero,G10=zero,H10=zero),zero,IF(B10=6, IF(E10&gt;EntradaServiço, Fevereiro!E10-EntradaServiço,0)+ IF(G10-F10&gt;tempo_de_almoço, G10-F10-tempo_de_almoço,0)+IF(H10&lt;saída_sexta,saída_sexta-H10,0),IF(E10&gt;EntradaServiço, Fevereiro!E10-EntradaServiço,0)+ IF(G10-F10&gt;tempo_de_almoço, G10-F10-tempo_de_almoço,0)+IF(H10&lt;saída_normal,saída_normal-H10,0)))))+K10</f>
        <v>0</v>
      </c>
      <c r="K10" s="10">
        <v>0</v>
      </c>
    </row>
    <row r="11" spans="1:14" x14ac:dyDescent="0.25">
      <c r="A11" s="3">
        <f t="shared" si="1"/>
        <v>44233</v>
      </c>
      <c r="B11" s="4">
        <f t="shared" si="0"/>
        <v>7</v>
      </c>
      <c r="C11" s="11" t="s">
        <v>7</v>
      </c>
      <c r="D11" s="9" t="s">
        <v>7</v>
      </c>
      <c r="E11" s="10">
        <v>0</v>
      </c>
      <c r="F11" s="10">
        <v>0</v>
      </c>
      <c r="G11" s="10">
        <v>0</v>
      </c>
      <c r="H11" s="10">
        <v>6.9444444444444447E-4</v>
      </c>
      <c r="I11" s="2">
        <f>IF(C11="sim",zero,IF(D11="Sim", H11-E11,IF(OR(E11=zero,F11=zero,G11=zero,H11=zero),zero, IF(B11=6,IF(E11&lt;EntradaServiço,EntradaServiço-Fevereiro!E11,0)+IF(Fevereiro!G11-Fevereiro!F11&lt;tempo_de_almoço,tempo_de_almoço-(Fevereiro!G11-Fevereiro!F11),0)+IF(Fevereiro!H11&gt;saída_sexta, Fevereiro!H11-saída_sexta,zero),IF(E11&lt;EntradaServiço,EntradaServiço-Fevereiro!E11,zero)+IF(Fevereiro!G11-Fevereiro!F11&lt;tempo_de_almoço,tempo_de_almoço-(Fevereiro!G11-Fevereiro!F11),zero)+IF(Fevereiro!H11&gt;saída_normal, Fevereiro!H11-saída_normal,zero)))))</f>
        <v>0</v>
      </c>
      <c r="J11" s="5">
        <f>IF(C11="Sim",zero,IF(D11="Sim",H11-E11,IF(OR(E11=zero,F11=zero,G11=zero,H11=zero),zero,IF(B11=6, IF(E11&gt;EntradaServiço, Fevereiro!E11-EntradaServiço,0)+ IF(G11-F11&gt;tempo_de_almoço, G11-F11-tempo_de_almoço,0)+IF(H11&lt;saída_sexta,saída_sexta-H11,0),IF(E11&gt;EntradaServiço, Fevereiro!E11-EntradaServiço,0)+ IF(G11-F11&gt;tempo_de_almoço, G11-F11-tempo_de_almoço,0)+IF(H11&lt;saída_normal,saída_normal-H11,0)))))+K11</f>
        <v>0</v>
      </c>
      <c r="K11" s="10">
        <v>0</v>
      </c>
    </row>
    <row r="12" spans="1:14" x14ac:dyDescent="0.25">
      <c r="A12" s="3">
        <f t="shared" si="1"/>
        <v>44234</v>
      </c>
      <c r="B12" s="4">
        <f t="shared" si="0"/>
        <v>1</v>
      </c>
      <c r="C12" s="11" t="s">
        <v>7</v>
      </c>
      <c r="D12" s="9" t="s">
        <v>7</v>
      </c>
      <c r="E12" s="10">
        <v>0</v>
      </c>
      <c r="F12" s="10">
        <v>0</v>
      </c>
      <c r="G12" s="10">
        <v>0</v>
      </c>
      <c r="H12" s="10">
        <v>0</v>
      </c>
      <c r="I12" s="2">
        <f>IF(C12="sim",zero,IF(D12="Sim", H12-E12,IF(OR(E12=zero,F12=zero,G12=zero,H12=zero),zero, IF(B12=6,IF(E12&lt;EntradaServiço,EntradaServiço-Fevereiro!E12,0)+IF(Fevereiro!G12-Fevereiro!F12&lt;tempo_de_almoço,tempo_de_almoço-(Fevereiro!G12-Fevereiro!F12),0)+IF(Fevereiro!H12&gt;saída_sexta, Fevereiro!H12-saída_sexta,zero),IF(E12&lt;EntradaServiço,EntradaServiço-Fevereiro!E12,zero)+IF(Fevereiro!G12-Fevereiro!F12&lt;tempo_de_almoço,tempo_de_almoço-(Fevereiro!G12-Fevereiro!F12),zero)+IF(Fevereiro!H12&gt;saída_normal, Fevereiro!H12-saída_normal,zero)))))</f>
        <v>0</v>
      </c>
      <c r="J12" s="5">
        <f>IF(C12="Sim",zero,IF(D12="Sim",H12-E12,IF(OR(E12=zero,F12=zero,G12=zero,H12=zero),zero,IF(B12=6, IF(E12&gt;EntradaServiço, Fevereiro!E12-EntradaServiço,0)+ IF(G12-F12&gt;tempo_de_almoço, G12-F12-tempo_de_almoço,0)+IF(H12&lt;saída_sexta,saída_sexta-H12,0),IF(E12&gt;EntradaServiço, Fevereiro!E12-EntradaServiço,0)+ IF(G12-F12&gt;tempo_de_almoço, G12-F12-tempo_de_almoço,0)+IF(H12&lt;saída_normal,saída_normal-H12,0)))))+K12</f>
        <v>0</v>
      </c>
      <c r="K12" s="10">
        <v>0</v>
      </c>
    </row>
    <row r="13" spans="1:14" x14ac:dyDescent="0.25">
      <c r="A13" s="3">
        <f t="shared" si="1"/>
        <v>44235</v>
      </c>
      <c r="B13" s="4">
        <f t="shared" si="0"/>
        <v>2</v>
      </c>
      <c r="C13" s="11" t="s">
        <v>7</v>
      </c>
      <c r="D13" s="9" t="s">
        <v>7</v>
      </c>
      <c r="E13" s="10">
        <v>0</v>
      </c>
      <c r="F13" s="10">
        <v>0</v>
      </c>
      <c r="G13" s="10">
        <v>0</v>
      </c>
      <c r="H13" s="10">
        <v>0</v>
      </c>
      <c r="I13" s="2">
        <f>IF(C13="sim",zero,IF(D13="Sim", H13-E13,IF(OR(E13=zero,F13=zero,G13=zero,H13=zero),zero, IF(B13=6,IF(E13&lt;EntradaServiço,EntradaServiço-Fevereiro!E13,0)+IF(Fevereiro!G13-Fevereiro!F13&lt;tempo_de_almoço,tempo_de_almoço-(Fevereiro!G13-Fevereiro!F13),0)+IF(Fevereiro!H13&gt;saída_sexta, Fevereiro!H13-saída_sexta,zero),IF(E13&lt;EntradaServiço,EntradaServiço-Fevereiro!E13,zero)+IF(Fevereiro!G13-Fevereiro!F13&lt;tempo_de_almoço,tempo_de_almoço-(Fevereiro!G13-Fevereiro!F13),zero)+IF(Fevereiro!H13&gt;saída_normal, Fevereiro!H13-saída_normal,zero)))))</f>
        <v>0</v>
      </c>
      <c r="J13" s="5">
        <f>IF(C13="Sim",zero,IF(D13="Sim",H13-E13,IF(OR(E13=zero,F13=zero,G13=zero,H13=zero),zero,IF(B13=6, IF(E13&gt;EntradaServiço, Fevereiro!E13-EntradaServiço,0)+ IF(G13-F13&gt;tempo_de_almoço, G13-F13-tempo_de_almoço,0)+IF(H13&lt;saída_sexta,saída_sexta-H13,0),IF(E13&gt;EntradaServiço, Fevereiro!E13-EntradaServiço,0)+ IF(G13-F13&gt;tempo_de_almoço, G13-F13-tempo_de_almoço,0)+IF(H13&lt;saída_normal,saída_normal-H13,0)))))+K13</f>
        <v>0</v>
      </c>
      <c r="K13" s="10">
        <v>0</v>
      </c>
    </row>
    <row r="14" spans="1:14" x14ac:dyDescent="0.25">
      <c r="A14" s="3">
        <f t="shared" si="1"/>
        <v>44236</v>
      </c>
      <c r="B14" s="4">
        <f t="shared" si="0"/>
        <v>3</v>
      </c>
      <c r="C14" s="11" t="s">
        <v>7</v>
      </c>
      <c r="D14" s="9" t="s">
        <v>7</v>
      </c>
      <c r="E14" s="10">
        <v>0</v>
      </c>
      <c r="F14" s="10">
        <v>0</v>
      </c>
      <c r="G14" s="10">
        <v>0</v>
      </c>
      <c r="H14" s="10">
        <v>0</v>
      </c>
      <c r="I14" s="2">
        <f>IF(C14="sim",zero,IF(D14="Sim", H14-E14,IF(OR(E14=zero,F14=zero,G14=zero,H14=zero),zero, IF(B14=6,IF(E14&lt;EntradaServiço,EntradaServiço-Fevereiro!E14,0)+IF(Fevereiro!G14-Fevereiro!F14&lt;tempo_de_almoço,tempo_de_almoço-(Fevereiro!G14-Fevereiro!F14),0)+IF(Fevereiro!H14&gt;saída_sexta, Fevereiro!H14-saída_sexta,zero),IF(E14&lt;EntradaServiço,EntradaServiço-Fevereiro!E14,zero)+IF(Fevereiro!G14-Fevereiro!F14&lt;tempo_de_almoço,tempo_de_almoço-(Fevereiro!G14-Fevereiro!F14),zero)+IF(Fevereiro!H14&gt;saída_normal, Fevereiro!H14-saída_normal,zero)))))</f>
        <v>0</v>
      </c>
      <c r="J14" s="5">
        <f>IF(C14="Sim",zero,IF(D14="Sim",H14-E14,IF(OR(E14=zero,F14=zero,G14=zero,H14=zero),zero,IF(B14=6, IF(E14&gt;EntradaServiço, Fevereiro!E14-EntradaServiço,0)+ IF(G14-F14&gt;tempo_de_almoço, G14-F14-tempo_de_almoço,0)+IF(H14&lt;saída_sexta,saída_sexta-H14,0),IF(E14&gt;EntradaServiço, Fevereiro!E14-EntradaServiço,0)+ IF(G14-F14&gt;tempo_de_almoço, G14-F14-tempo_de_almoço,0)+IF(H14&lt;saída_normal,saída_normal-H14,0)))))+K14</f>
        <v>0</v>
      </c>
      <c r="K14" s="10">
        <v>0</v>
      </c>
    </row>
    <row r="15" spans="1:14" x14ac:dyDescent="0.25">
      <c r="A15" s="3">
        <f t="shared" si="1"/>
        <v>44237</v>
      </c>
      <c r="B15" s="4">
        <f t="shared" si="0"/>
        <v>4</v>
      </c>
      <c r="C15" s="11" t="s">
        <v>7</v>
      </c>
      <c r="D15" s="9" t="s">
        <v>7</v>
      </c>
      <c r="E15" s="10">
        <v>0</v>
      </c>
      <c r="F15" s="10">
        <v>0</v>
      </c>
      <c r="G15" s="10">
        <v>0</v>
      </c>
      <c r="H15" s="10">
        <v>0</v>
      </c>
      <c r="I15" s="2">
        <f>IF(C15="sim",zero,IF(D15="Sim", H15-E15,IF(OR(E15=zero,F15=zero,G15=zero,H15=zero),zero, IF(B15=6,IF(E15&lt;EntradaServiço,EntradaServiço-Fevereiro!E15,0)+IF(Fevereiro!G15-Fevereiro!F15&lt;tempo_de_almoço,tempo_de_almoço-(Fevereiro!G15-Fevereiro!F15),0)+IF(Fevereiro!H15&gt;saída_sexta, Fevereiro!H15-saída_sexta,zero),IF(E15&lt;EntradaServiço,EntradaServiço-Fevereiro!E15,zero)+IF(Fevereiro!G15-Fevereiro!F15&lt;tempo_de_almoço,tempo_de_almoço-(Fevereiro!G15-Fevereiro!F15),zero)+IF(Fevereiro!H15&gt;saída_normal, Fevereiro!H15-saída_normal,zero)))))</f>
        <v>0</v>
      </c>
      <c r="J15" s="5">
        <f>IF(C15="Sim",zero,IF(D15="Sim",H15-E15,IF(OR(E15=zero,F15=zero,G15=zero,H15=zero),zero,IF(B15=6, IF(E15&gt;EntradaServiço, Fevereiro!E15-EntradaServiço,0)+ IF(G15-F15&gt;tempo_de_almoço, G15-F15-tempo_de_almoço,0)+IF(H15&lt;saída_sexta,saída_sexta-H15,0),IF(E15&gt;EntradaServiço, Fevereiro!E15-EntradaServiço,0)+ IF(G15-F15&gt;tempo_de_almoço, G15-F15-tempo_de_almoço,0)+IF(H15&lt;saída_normal,saída_normal-H15,0)))))+K15</f>
        <v>0</v>
      </c>
      <c r="K15" s="10">
        <v>0</v>
      </c>
    </row>
    <row r="16" spans="1:14" x14ac:dyDescent="0.25">
      <c r="A16" s="3">
        <f t="shared" si="1"/>
        <v>44238</v>
      </c>
      <c r="B16" s="4">
        <f t="shared" si="0"/>
        <v>5</v>
      </c>
      <c r="C16" s="11" t="s">
        <v>7</v>
      </c>
      <c r="D16" s="9" t="s">
        <v>7</v>
      </c>
      <c r="E16" s="10">
        <v>0</v>
      </c>
      <c r="F16" s="10">
        <v>0</v>
      </c>
      <c r="G16" s="10">
        <v>0</v>
      </c>
      <c r="H16" s="10">
        <v>0</v>
      </c>
      <c r="I16" s="2">
        <f>IF(C16="sim",zero,IF(D16="Sim", H16-E16,IF(OR(E16=zero,F16=zero,G16=zero,H16=zero),zero, IF(B16=6,IF(E16&lt;EntradaServiço,EntradaServiço-Fevereiro!E16,0)+IF(Fevereiro!G16-Fevereiro!F16&lt;tempo_de_almoço,tempo_de_almoço-(Fevereiro!G16-Fevereiro!F16),0)+IF(Fevereiro!H16&gt;saída_sexta, Fevereiro!H16-saída_sexta,zero),IF(E16&lt;EntradaServiço,EntradaServiço-Fevereiro!E16,zero)+IF(Fevereiro!G16-Fevereiro!F16&lt;tempo_de_almoço,tempo_de_almoço-(Fevereiro!G16-Fevereiro!F16),zero)+IF(Fevereiro!H16&gt;saída_normal, Fevereiro!H16-saída_normal,zero)))))</f>
        <v>0</v>
      </c>
      <c r="J16" s="5">
        <f>IF(C16="Sim",zero,IF(D16="Sim",H16-E16,IF(OR(E16=zero,F16=zero,G16=zero,H16=zero),zero,IF(B16=6, IF(E16&gt;EntradaServiço, Fevereiro!E16-EntradaServiço,0)+ IF(G16-F16&gt;tempo_de_almoço, G16-F16-tempo_de_almoço,0)+IF(H16&lt;saída_sexta,saída_sexta-H16,0),IF(E16&gt;EntradaServiço, Fevereiro!E16-EntradaServiço,0)+ IF(G16-F16&gt;tempo_de_almoço, G16-F16-tempo_de_almoço,0)+IF(H16&lt;saída_normal,saída_normal-H16,0)))))+K16</f>
        <v>0</v>
      </c>
      <c r="K16" s="10">
        <v>0</v>
      </c>
    </row>
    <row r="17" spans="1:11" x14ac:dyDescent="0.25">
      <c r="A17" s="3">
        <f t="shared" si="1"/>
        <v>44239</v>
      </c>
      <c r="B17" s="4">
        <f t="shared" si="0"/>
        <v>6</v>
      </c>
      <c r="C17" s="11" t="s">
        <v>7</v>
      </c>
      <c r="D17" s="9" t="s">
        <v>7</v>
      </c>
      <c r="E17" s="10">
        <v>0</v>
      </c>
      <c r="F17" s="10">
        <v>0</v>
      </c>
      <c r="G17" s="10">
        <v>0</v>
      </c>
      <c r="H17" s="10">
        <v>0</v>
      </c>
      <c r="I17" s="2">
        <f>IF(C17="sim",zero,IF(D17="Sim", H17-E17,IF(OR(E17=zero,F17=zero,G17=zero,H17=zero),zero, IF(B17=6,IF(E17&lt;EntradaServiço,EntradaServiço-Fevereiro!E17,0)+IF(Fevereiro!G17-Fevereiro!F17&lt;tempo_de_almoço,tempo_de_almoço-(Fevereiro!G17-Fevereiro!F17),0)+IF(Fevereiro!H17&gt;saída_sexta, Fevereiro!H17-saída_sexta,zero),IF(E17&lt;EntradaServiço,EntradaServiço-Fevereiro!E17,zero)+IF(Fevereiro!G17-Fevereiro!F17&lt;tempo_de_almoço,tempo_de_almoço-(Fevereiro!G17-Fevereiro!F17),zero)+IF(Fevereiro!H17&gt;saída_normal, Fevereiro!H17-saída_normal,zero)))))</f>
        <v>0</v>
      </c>
      <c r="J17" s="5">
        <f>IF(C17="Sim",zero,IF(D17="Sim",H17-E17,IF(OR(E17=zero,F17=zero,G17=zero,H17=zero),zero,IF(B17=6, IF(E17&gt;EntradaServiço, Fevereiro!E17-EntradaServiço,0)+ IF(G17-F17&gt;tempo_de_almoço, G17-F17-tempo_de_almoço,0)+IF(H17&lt;saída_sexta,saída_sexta-H17,0),IF(E17&gt;EntradaServiço, Fevereiro!E17-EntradaServiço,0)+ IF(G17-F17&gt;tempo_de_almoço, G17-F17-tempo_de_almoço,0)+IF(H17&lt;saída_normal,saída_normal-H17,0)))))+K17</f>
        <v>0</v>
      </c>
      <c r="K17" s="10">
        <v>0</v>
      </c>
    </row>
    <row r="18" spans="1:11" x14ac:dyDescent="0.25">
      <c r="A18" s="3">
        <f t="shared" si="1"/>
        <v>44240</v>
      </c>
      <c r="B18" s="4">
        <f t="shared" si="0"/>
        <v>7</v>
      </c>
      <c r="C18" s="11" t="s">
        <v>7</v>
      </c>
      <c r="D18" s="9" t="s">
        <v>7</v>
      </c>
      <c r="E18" s="10">
        <v>0</v>
      </c>
      <c r="F18" s="10">
        <v>0</v>
      </c>
      <c r="G18" s="10">
        <v>0</v>
      </c>
      <c r="H18" s="10">
        <v>0</v>
      </c>
      <c r="I18" s="2">
        <f>IF(C18="sim",zero,IF(D18="Sim", H18-E18,IF(OR(E18=zero,F18=zero,G18=zero,H18=zero),zero, IF(B18=6,IF(E18&lt;EntradaServiço,EntradaServiço-Fevereiro!E18,0)+IF(Fevereiro!G18-Fevereiro!F18&lt;tempo_de_almoço,tempo_de_almoço-(Fevereiro!G18-Fevereiro!F18),0)+IF(Fevereiro!H18&gt;saída_sexta, Fevereiro!H18-saída_sexta,zero),IF(E18&lt;EntradaServiço,EntradaServiço-Fevereiro!E18,zero)+IF(Fevereiro!G18-Fevereiro!F18&lt;tempo_de_almoço,tempo_de_almoço-(Fevereiro!G18-Fevereiro!F18),zero)+IF(Fevereiro!H18&gt;saída_normal, Fevereiro!H18-saída_normal,zero)))))</f>
        <v>0</v>
      </c>
      <c r="J18" s="5">
        <f>IF(C18="Sim",zero,IF(D18="Sim",H18-E18,IF(OR(E18=zero,F18=zero,G18=zero,H18=zero),zero,IF(B18=6, IF(E18&gt;EntradaServiço, Fevereiro!E18-EntradaServiço,0)+ IF(G18-F18&gt;tempo_de_almoço, G18-F18-tempo_de_almoço,0)+IF(H18&lt;saída_sexta,saída_sexta-H18,0),IF(E18&gt;EntradaServiço, Fevereiro!E18-EntradaServiço,0)+ IF(G18-F18&gt;tempo_de_almoço, G18-F18-tempo_de_almoço,0)+IF(H18&lt;saída_normal,saída_normal-H18,0)))))+K18</f>
        <v>0</v>
      </c>
      <c r="K18" s="10">
        <v>0</v>
      </c>
    </row>
    <row r="19" spans="1:11" x14ac:dyDescent="0.25">
      <c r="A19" s="3">
        <f t="shared" si="1"/>
        <v>44241</v>
      </c>
      <c r="B19" s="4">
        <f t="shared" si="0"/>
        <v>1</v>
      </c>
      <c r="C19" s="11" t="s">
        <v>7</v>
      </c>
      <c r="D19" s="9" t="s">
        <v>7</v>
      </c>
      <c r="E19" s="10">
        <v>0</v>
      </c>
      <c r="F19" s="10">
        <v>0</v>
      </c>
      <c r="G19" s="10">
        <v>0</v>
      </c>
      <c r="H19" s="10">
        <v>0</v>
      </c>
      <c r="I19" s="2">
        <f>IF(C19="sim",zero,IF(D19="Sim", H19-E19,IF(OR(E19=zero,F19=zero,G19=zero,H19=zero),zero, IF(B19=6,IF(E19&lt;EntradaServiço,EntradaServiço-Fevereiro!E19,0)+IF(Fevereiro!G19-Fevereiro!F19&lt;tempo_de_almoço,tempo_de_almoço-(Fevereiro!G19-Fevereiro!F19),0)+IF(Fevereiro!H19&gt;saída_sexta, Fevereiro!H19-saída_sexta,zero),IF(E19&lt;EntradaServiço,EntradaServiço-Fevereiro!E19,zero)+IF(Fevereiro!G19-Fevereiro!F19&lt;tempo_de_almoço,tempo_de_almoço-(Fevereiro!G19-Fevereiro!F19),zero)+IF(Fevereiro!H19&gt;saída_normal, Fevereiro!H19-saída_normal,zero)))))</f>
        <v>0</v>
      </c>
      <c r="J19" s="5">
        <f>IF(C19="Sim",zero,IF(D19="Sim",H19-E19,IF(OR(E19=zero,F19=zero,G19=zero,H19=zero),zero,IF(B19=6, IF(E19&gt;EntradaServiço, Fevereiro!E19-EntradaServiço,0)+ IF(G19-F19&gt;tempo_de_almoço, G19-F19-tempo_de_almoço,0)+IF(H19&lt;saída_sexta,saída_sexta-H19,0),IF(E19&gt;EntradaServiço, Fevereiro!E19-EntradaServiço,0)+ IF(G19-F19&gt;tempo_de_almoço, G19-F19-tempo_de_almoço,0)+IF(H19&lt;saída_normal,saída_normal-H19,0)))))+K19</f>
        <v>0</v>
      </c>
      <c r="K19" s="10">
        <v>0</v>
      </c>
    </row>
    <row r="20" spans="1:11" x14ac:dyDescent="0.25">
      <c r="A20" s="3">
        <f t="shared" si="1"/>
        <v>44242</v>
      </c>
      <c r="B20" s="4">
        <f t="shared" si="0"/>
        <v>2</v>
      </c>
      <c r="C20" s="11" t="s">
        <v>7</v>
      </c>
      <c r="D20" s="9" t="s">
        <v>7</v>
      </c>
      <c r="E20" s="10">
        <v>0</v>
      </c>
      <c r="F20" s="10">
        <v>0</v>
      </c>
      <c r="G20" s="10">
        <v>0</v>
      </c>
      <c r="H20" s="10">
        <v>0</v>
      </c>
      <c r="I20" s="2">
        <f>IF(C20="sim",zero,IF(D20="Sim", H20-E20,IF(OR(E20=zero,F20=zero,G20=zero,H20=zero),zero, IF(B20=6,IF(E20&lt;EntradaServiço,EntradaServiço-Fevereiro!E20,0)+IF(Fevereiro!G20-Fevereiro!F20&lt;tempo_de_almoço,tempo_de_almoço-(Fevereiro!G20-Fevereiro!F20),0)+IF(Fevereiro!H20&gt;saída_sexta, Fevereiro!H20-saída_sexta,zero),IF(E20&lt;EntradaServiço,EntradaServiço-Fevereiro!E20,zero)+IF(Fevereiro!G20-Fevereiro!F20&lt;tempo_de_almoço,tempo_de_almoço-(Fevereiro!G20-Fevereiro!F20),zero)+IF(Fevereiro!H20&gt;saída_normal, Fevereiro!H20-saída_normal,zero)))))</f>
        <v>0</v>
      </c>
      <c r="J20" s="5">
        <f>IF(C20="Sim",zero,IF(D20="Sim",H20-E20,IF(OR(E20=zero,F20=zero,G20=zero,H20=zero),zero,IF(B20=6, IF(E20&gt;EntradaServiço, Fevereiro!E20-EntradaServiço,0)+ IF(G20-F20&gt;tempo_de_almoço, G20-F20-tempo_de_almoço,0)+IF(H20&lt;saída_sexta,saída_sexta-H20,0),IF(E20&gt;EntradaServiço, Fevereiro!E20-EntradaServiço,0)+ IF(G20-F20&gt;tempo_de_almoço, G20-F20-tempo_de_almoço,0)+IF(H20&lt;saída_normal,saída_normal-H20,0)))))+K20</f>
        <v>0</v>
      </c>
      <c r="K20" s="10">
        <v>0</v>
      </c>
    </row>
    <row r="21" spans="1:11" x14ac:dyDescent="0.25">
      <c r="A21" s="3">
        <f t="shared" si="1"/>
        <v>44243</v>
      </c>
      <c r="B21" s="4">
        <f t="shared" si="0"/>
        <v>3</v>
      </c>
      <c r="C21" s="11" t="s">
        <v>7</v>
      </c>
      <c r="D21" s="9" t="s">
        <v>7</v>
      </c>
      <c r="E21" s="10">
        <v>0</v>
      </c>
      <c r="F21" s="10">
        <v>0</v>
      </c>
      <c r="G21" s="10">
        <v>0</v>
      </c>
      <c r="H21" s="10">
        <v>0</v>
      </c>
      <c r="I21" s="2">
        <f>IF(C21="sim",zero,IF(D21="Sim", H21-E21,IF(OR(E21=zero,F21=zero,G21=zero,H21=zero),zero, IF(B21=6,IF(E21&lt;EntradaServiço,EntradaServiço-Fevereiro!E21,0)+IF(Fevereiro!G21-Fevereiro!F21&lt;tempo_de_almoço,tempo_de_almoço-(Fevereiro!G21-Fevereiro!F21),0)+IF(Fevereiro!H21&gt;saída_sexta, Fevereiro!H21-saída_sexta,zero),IF(E21&lt;EntradaServiço,EntradaServiço-Fevereiro!E21,zero)+IF(Fevereiro!G21-Fevereiro!F21&lt;tempo_de_almoço,tempo_de_almoço-(Fevereiro!G21-Fevereiro!F21),zero)+IF(Fevereiro!H21&gt;saída_normal, Fevereiro!H21-saída_normal,zero)))))</f>
        <v>0</v>
      </c>
      <c r="J21" s="5">
        <f>IF(C21="Sim",zero,IF(D21="Sim",H21-E21,IF(OR(E21=zero,F21=zero,G21=zero,H21=zero),zero,IF(B21=6, IF(E21&gt;EntradaServiço, Fevereiro!E21-EntradaServiço,0)+ IF(G21-F21&gt;tempo_de_almoço, G21-F21-tempo_de_almoço,0)+IF(H21&lt;saída_sexta,saída_sexta-H21,0),IF(E21&gt;EntradaServiço, Fevereiro!E21-EntradaServiço,0)+ IF(G21-F21&gt;tempo_de_almoço, G21-F21-tempo_de_almoço,0)+IF(H21&lt;saída_normal,saída_normal-H21,0)))))+K21</f>
        <v>0</v>
      </c>
      <c r="K21" s="10">
        <v>0</v>
      </c>
    </row>
    <row r="22" spans="1:11" x14ac:dyDescent="0.25">
      <c r="A22" s="3">
        <f t="shared" si="1"/>
        <v>44244</v>
      </c>
      <c r="B22" s="4">
        <f t="shared" si="0"/>
        <v>4</v>
      </c>
      <c r="C22" s="11" t="s">
        <v>7</v>
      </c>
      <c r="D22" s="9" t="s">
        <v>7</v>
      </c>
      <c r="E22" s="10">
        <v>0</v>
      </c>
      <c r="F22" s="10">
        <v>0</v>
      </c>
      <c r="G22" s="10">
        <v>0</v>
      </c>
      <c r="H22" s="10">
        <v>0</v>
      </c>
      <c r="I22" s="2">
        <f>IF(C22="sim",zero,IF(D22="Sim", H22-E22,IF(OR(E22=zero,F22=zero,G22=zero,H22=zero),zero, IF(B22=6,IF(E22&lt;EntradaServiço,EntradaServiço-Fevereiro!E22,0)+IF(Fevereiro!G22-Fevereiro!F22&lt;tempo_de_almoço,tempo_de_almoço-(Fevereiro!G22-Fevereiro!F22),0)+IF(Fevereiro!H22&gt;saída_sexta, Fevereiro!H22-saída_sexta,zero),IF(E22&lt;EntradaServiço,EntradaServiço-Fevereiro!E22,zero)+IF(Fevereiro!G22-Fevereiro!F22&lt;tempo_de_almoço,tempo_de_almoço-(Fevereiro!G22-Fevereiro!F22),zero)+IF(Fevereiro!H22&gt;saída_normal, Fevereiro!H22-saída_normal,zero)))))</f>
        <v>0</v>
      </c>
      <c r="J22" s="5">
        <f>IF(C22="Sim",zero,IF(D22="Sim",H22-E22,IF(OR(E22=zero,F22=zero,G22=zero,H22=zero),zero,IF(B22=6, IF(E22&gt;EntradaServiço, Fevereiro!E22-EntradaServiço,0)+ IF(G22-F22&gt;tempo_de_almoço, G22-F22-tempo_de_almoço,0)+IF(H22&lt;saída_sexta,saída_sexta-H22,0),IF(E22&gt;EntradaServiço, Fevereiro!E22-EntradaServiço,0)+ IF(G22-F22&gt;tempo_de_almoço, G22-F22-tempo_de_almoço,0)+IF(H22&lt;saída_normal,saída_normal-H22,0)))))+K22</f>
        <v>0</v>
      </c>
      <c r="K22" s="10">
        <v>0</v>
      </c>
    </row>
    <row r="23" spans="1:11" x14ac:dyDescent="0.25">
      <c r="A23" s="3">
        <f t="shared" si="1"/>
        <v>44245</v>
      </c>
      <c r="B23" s="4">
        <f t="shared" si="0"/>
        <v>5</v>
      </c>
      <c r="C23" s="11" t="s">
        <v>7</v>
      </c>
      <c r="D23" s="9" t="s">
        <v>7</v>
      </c>
      <c r="E23" s="10">
        <v>0</v>
      </c>
      <c r="F23" s="10">
        <v>0</v>
      </c>
      <c r="G23" s="10">
        <v>0</v>
      </c>
      <c r="H23" s="10">
        <v>0</v>
      </c>
      <c r="I23" s="2">
        <f>IF(C23="sim",zero,IF(D23="Sim", H23-E23,IF(OR(E23=zero,F23=zero,G23=zero,H23=zero),zero, IF(B23=6,IF(E23&lt;EntradaServiço,EntradaServiço-Fevereiro!E23,0)+IF(Fevereiro!G23-Fevereiro!F23&lt;tempo_de_almoço,tempo_de_almoço-(Fevereiro!G23-Fevereiro!F23),0)+IF(Fevereiro!H23&gt;saída_sexta, Fevereiro!H23-saída_sexta,zero),IF(E23&lt;EntradaServiço,EntradaServiço-Fevereiro!E23,zero)+IF(Fevereiro!G23-Fevereiro!F23&lt;tempo_de_almoço,tempo_de_almoço-(Fevereiro!G23-Fevereiro!F23),zero)+IF(Fevereiro!H23&gt;saída_normal, Fevereiro!H23-saída_normal,zero)))))</f>
        <v>0</v>
      </c>
      <c r="J23" s="5">
        <f>IF(C23="Sim",zero,IF(D23="Sim",H23-E23,IF(OR(E23=zero,F23=zero,G23=zero,H23=zero),zero,IF(B23=6, IF(E23&gt;EntradaServiço, Fevereiro!E23-EntradaServiço,0)+ IF(G23-F23&gt;tempo_de_almoço, G23-F23-tempo_de_almoço,0)+IF(H23&lt;saída_sexta,saída_sexta-H23,0),IF(E23&gt;EntradaServiço, Fevereiro!E23-EntradaServiço,0)+ IF(G23-F23&gt;tempo_de_almoço, G23-F23-tempo_de_almoço,0)+IF(H23&lt;saída_normal,saída_normal-H23,0)))))+K23</f>
        <v>0</v>
      </c>
      <c r="K23" s="10">
        <v>0</v>
      </c>
    </row>
    <row r="24" spans="1:11" x14ac:dyDescent="0.25">
      <c r="A24" s="3">
        <f t="shared" si="1"/>
        <v>44246</v>
      </c>
      <c r="B24" s="4">
        <f t="shared" si="0"/>
        <v>6</v>
      </c>
      <c r="C24" s="11" t="s">
        <v>7</v>
      </c>
      <c r="D24" s="9" t="s">
        <v>7</v>
      </c>
      <c r="E24" s="10">
        <v>0</v>
      </c>
      <c r="F24" s="10">
        <v>0</v>
      </c>
      <c r="G24" s="10">
        <v>0</v>
      </c>
      <c r="H24" s="10">
        <v>0</v>
      </c>
      <c r="I24" s="2">
        <f>IF(C24="sim",zero,IF(D24="Sim", H24-E24,IF(OR(E24=zero,F24=zero,G24=zero,H24=zero),zero, IF(B24=6,IF(E24&lt;EntradaServiço,EntradaServiço-Fevereiro!E24,0)+IF(Fevereiro!G24-Fevereiro!F24&lt;tempo_de_almoço,tempo_de_almoço-(Fevereiro!G24-Fevereiro!F24),0)+IF(Fevereiro!H24&gt;saída_sexta, Fevereiro!H24-saída_sexta,zero),IF(E24&lt;EntradaServiço,EntradaServiço-Fevereiro!E24,zero)+IF(Fevereiro!G24-Fevereiro!F24&lt;tempo_de_almoço,tempo_de_almoço-(Fevereiro!G24-Fevereiro!F24),zero)+IF(Fevereiro!H24&gt;saída_normal, Fevereiro!H24-saída_normal,zero)))))</f>
        <v>0</v>
      </c>
      <c r="J24" s="5">
        <f>IF(C24="Sim",zero,IF(D24="Sim",H24-E24,IF(OR(E24=zero,F24=zero,G24=zero,H24=zero),zero,IF(B24=6, IF(E24&gt;EntradaServiço, Fevereiro!E24-EntradaServiço,0)+ IF(G24-F24&gt;tempo_de_almoço, G24-F24-tempo_de_almoço,0)+IF(H24&lt;saída_sexta,saída_sexta-H24,0),IF(E24&gt;EntradaServiço, Fevereiro!E24-EntradaServiço,0)+ IF(G24-F24&gt;tempo_de_almoço, G24-F24-tempo_de_almoço,0)+IF(H24&lt;saída_normal,saída_normal-H24,0)))))+K24</f>
        <v>0</v>
      </c>
      <c r="K24" s="10">
        <v>0</v>
      </c>
    </row>
    <row r="25" spans="1:11" x14ac:dyDescent="0.25">
      <c r="A25" s="3">
        <f t="shared" si="1"/>
        <v>44247</v>
      </c>
      <c r="B25" s="4">
        <f t="shared" si="0"/>
        <v>7</v>
      </c>
      <c r="C25" s="11" t="s">
        <v>7</v>
      </c>
      <c r="D25" s="9" t="s">
        <v>7</v>
      </c>
      <c r="E25" s="10">
        <v>0</v>
      </c>
      <c r="F25" s="10">
        <v>0</v>
      </c>
      <c r="G25" s="10">
        <v>0</v>
      </c>
      <c r="H25" s="10">
        <v>0</v>
      </c>
      <c r="I25" s="2">
        <f>IF(C25="sim",zero,IF(D25="Sim", H25-E25,IF(OR(E25=zero,F25=zero,G25=zero,H25=zero),zero, IF(B25=6,IF(E25&lt;EntradaServiço,EntradaServiço-Fevereiro!E25,0)+IF(Fevereiro!G25-Fevereiro!F25&lt;tempo_de_almoço,tempo_de_almoço-(Fevereiro!G25-Fevereiro!F25),0)+IF(Fevereiro!H25&gt;saída_sexta, Fevereiro!H25-saída_sexta,zero),IF(E25&lt;EntradaServiço,EntradaServiço-Fevereiro!E25,zero)+IF(Fevereiro!G25-Fevereiro!F25&lt;tempo_de_almoço,tempo_de_almoço-(Fevereiro!G25-Fevereiro!F25),zero)+IF(Fevereiro!H25&gt;saída_normal, Fevereiro!H25-saída_normal,zero)))))</f>
        <v>0</v>
      </c>
      <c r="J25" s="5">
        <f>IF(C25="Sim",zero,IF(D25="Sim",H25-E25,IF(OR(E25=zero,F25=zero,G25=zero,H25=zero),zero,IF(B25=6, IF(E25&gt;EntradaServiço, Fevereiro!E25-EntradaServiço,0)+ IF(G25-F25&gt;tempo_de_almoço, G25-F25-tempo_de_almoço,0)+IF(H25&lt;saída_sexta,saída_sexta-H25,0),IF(E25&gt;EntradaServiço, Fevereiro!E25-EntradaServiço,0)+ IF(G25-F25&gt;tempo_de_almoço, G25-F25-tempo_de_almoço,0)+IF(H25&lt;saída_normal,saída_normal-H25,0)))))+K25</f>
        <v>0</v>
      </c>
      <c r="K25" s="10">
        <v>0</v>
      </c>
    </row>
    <row r="26" spans="1:11" x14ac:dyDescent="0.25">
      <c r="A26" s="3">
        <f t="shared" si="1"/>
        <v>44248</v>
      </c>
      <c r="B26" s="4">
        <f t="shared" si="0"/>
        <v>1</v>
      </c>
      <c r="C26" s="11" t="s">
        <v>7</v>
      </c>
      <c r="D26" s="9" t="s">
        <v>7</v>
      </c>
      <c r="E26" s="10">
        <v>0</v>
      </c>
      <c r="F26" s="10">
        <v>0</v>
      </c>
      <c r="G26" s="10">
        <v>0</v>
      </c>
      <c r="H26" s="10">
        <v>0</v>
      </c>
      <c r="I26" s="2">
        <f>IF(C26="sim",zero,IF(D26="Sim", H26-E26,IF(OR(E26=zero,F26=zero,G26=zero,H26=zero),zero, IF(B26=6,IF(E26&lt;EntradaServiço,EntradaServiço-Fevereiro!E26,0)+IF(Fevereiro!G26-Fevereiro!F26&lt;tempo_de_almoço,tempo_de_almoço-(Fevereiro!G26-Fevereiro!F26),0)+IF(Fevereiro!H26&gt;saída_sexta, Fevereiro!H26-saída_sexta,zero),IF(E26&lt;EntradaServiço,EntradaServiço-Fevereiro!E26,zero)+IF(Fevereiro!G26-Fevereiro!F26&lt;tempo_de_almoço,tempo_de_almoço-(Fevereiro!G26-Fevereiro!F26),zero)+IF(Fevereiro!H26&gt;saída_normal, Fevereiro!H26-saída_normal,zero)))))</f>
        <v>0</v>
      </c>
      <c r="J26" s="5">
        <f>IF(C26="Sim",zero,IF(D26="Sim",H26-E26,IF(OR(E26=zero,F26=zero,G26=zero,H26=zero),zero,IF(B26=6, IF(E26&gt;EntradaServiço, Fevereiro!E26-EntradaServiço,0)+ IF(G26-F26&gt;tempo_de_almoço, G26-F26-tempo_de_almoço,0)+IF(H26&lt;saída_sexta,saída_sexta-H26,0),IF(E26&gt;EntradaServiço, Fevereiro!E26-EntradaServiço,0)+ IF(G26-F26&gt;tempo_de_almoço, G26-F26-tempo_de_almoço,0)+IF(H26&lt;saída_normal,saída_normal-H26,0)))))+K26</f>
        <v>0</v>
      </c>
      <c r="K26" s="10">
        <v>0</v>
      </c>
    </row>
    <row r="27" spans="1:11" x14ac:dyDescent="0.25">
      <c r="A27" s="3">
        <f t="shared" si="1"/>
        <v>44249</v>
      </c>
      <c r="B27" s="4">
        <f t="shared" si="0"/>
        <v>2</v>
      </c>
      <c r="C27" s="11" t="s">
        <v>7</v>
      </c>
      <c r="D27" s="9" t="s">
        <v>7</v>
      </c>
      <c r="E27" s="10">
        <v>0</v>
      </c>
      <c r="F27" s="10">
        <v>0</v>
      </c>
      <c r="G27" s="10">
        <v>0</v>
      </c>
      <c r="H27" s="10">
        <v>0</v>
      </c>
      <c r="I27" s="2">
        <f>IF(C27="sim",zero,IF(D27="Sim", H27-E27,IF(OR(E27=zero,F27=zero,G27=zero,H27=zero),zero, IF(B27=6,IF(E27&lt;EntradaServiço,EntradaServiço-Fevereiro!E27,0)+IF(Fevereiro!G27-Fevereiro!F27&lt;tempo_de_almoço,tempo_de_almoço-(Fevereiro!G27-Fevereiro!F27),0)+IF(Fevereiro!H27&gt;saída_sexta, Fevereiro!H27-saída_sexta,zero),IF(E27&lt;EntradaServiço,EntradaServiço-Fevereiro!E27,zero)+IF(Fevereiro!G27-Fevereiro!F27&lt;tempo_de_almoço,tempo_de_almoço-(Fevereiro!G27-Fevereiro!F27),zero)+IF(Fevereiro!H27&gt;saída_normal, Fevereiro!H27-saída_normal,zero)))))</f>
        <v>0</v>
      </c>
      <c r="J27" s="5">
        <f>IF(C27="Sim",zero,IF(D27="Sim",H27-E27,IF(OR(E27=zero,F27=zero,G27=zero,H27=zero),zero,IF(B27=6, IF(E27&gt;EntradaServiço, Fevereiro!E27-EntradaServiço,0)+ IF(G27-F27&gt;tempo_de_almoço, G27-F27-tempo_de_almoço,0)+IF(H27&lt;saída_sexta,saída_sexta-H27,0),IF(E27&gt;EntradaServiço, Fevereiro!E27-EntradaServiço,0)+ IF(G27-F27&gt;tempo_de_almoço, G27-F27-tempo_de_almoço,0)+IF(H27&lt;saída_normal,saída_normal-H27,0)))))+K27</f>
        <v>0</v>
      </c>
      <c r="K27" s="10">
        <v>0</v>
      </c>
    </row>
    <row r="28" spans="1:11" x14ac:dyDescent="0.25">
      <c r="A28" s="3">
        <f t="shared" si="1"/>
        <v>44250</v>
      </c>
      <c r="B28" s="4">
        <f t="shared" si="0"/>
        <v>3</v>
      </c>
      <c r="C28" s="11" t="s">
        <v>7</v>
      </c>
      <c r="D28" s="9" t="s">
        <v>7</v>
      </c>
      <c r="E28" s="10">
        <v>0</v>
      </c>
      <c r="F28" s="10">
        <v>0</v>
      </c>
      <c r="G28" s="10">
        <v>0</v>
      </c>
      <c r="H28" s="10">
        <v>0</v>
      </c>
      <c r="I28" s="2">
        <f>IF(C28="sim",zero,IF(D28="Sim", H28-E28,IF(OR(E28=zero,F28=zero,G28=zero,H28=zero),zero, IF(B28=6,IF(E28&lt;EntradaServiço,EntradaServiço-Fevereiro!E28,0)+IF(Fevereiro!G28-Fevereiro!F28&lt;tempo_de_almoço,tempo_de_almoço-(Fevereiro!G28-Fevereiro!F28),0)+IF(Fevereiro!H28&gt;saída_sexta, Fevereiro!H28-saída_sexta,zero),IF(E28&lt;EntradaServiço,EntradaServiço-Fevereiro!E28,zero)+IF(Fevereiro!G28-Fevereiro!F28&lt;tempo_de_almoço,tempo_de_almoço-(Fevereiro!G28-Fevereiro!F28),zero)+IF(Fevereiro!H28&gt;saída_normal, Fevereiro!H28-saída_normal,zero)))))</f>
        <v>0</v>
      </c>
      <c r="J28" s="5">
        <f>IF(C28="Sim",zero,IF(D28="Sim",H28-E28,IF(OR(E28=zero,F28=zero,G28=zero,H28=zero),zero,IF(B28=6, IF(E28&gt;EntradaServiço, Fevereiro!E28-EntradaServiço,0)+ IF(G28-F28&gt;tempo_de_almoço, G28-F28-tempo_de_almoço,0)+IF(H28&lt;saída_sexta,saída_sexta-H28,0),IF(E28&gt;EntradaServiço, Fevereiro!E28-EntradaServiço,0)+ IF(G28-F28&gt;tempo_de_almoço, G28-F28-tempo_de_almoço,0)+IF(H28&lt;saída_normal,saída_normal-H28,0)))))+K28</f>
        <v>0</v>
      </c>
      <c r="K28" s="10">
        <v>0</v>
      </c>
    </row>
    <row r="29" spans="1:11" x14ac:dyDescent="0.25">
      <c r="A29" s="3">
        <f t="shared" si="1"/>
        <v>44251</v>
      </c>
      <c r="B29" s="4">
        <f t="shared" si="0"/>
        <v>4</v>
      </c>
      <c r="C29" s="11" t="s">
        <v>7</v>
      </c>
      <c r="D29" s="9" t="s">
        <v>7</v>
      </c>
      <c r="E29" s="10">
        <v>0</v>
      </c>
      <c r="F29" s="10">
        <v>0</v>
      </c>
      <c r="G29" s="10">
        <v>0</v>
      </c>
      <c r="H29" s="10">
        <v>0</v>
      </c>
      <c r="I29" s="2">
        <f>IF(C29="sim",zero,IF(D29="Sim", H29-E29,IF(OR(E29=zero,F29=zero,G29=zero,H29=zero),zero, IF(B29=6,IF(E29&lt;EntradaServiço,EntradaServiço-Fevereiro!E29,0)+IF(Fevereiro!G29-Fevereiro!F29&lt;tempo_de_almoço,tempo_de_almoço-(Fevereiro!G29-Fevereiro!F29),0)+IF(Fevereiro!H29&gt;saída_sexta, Fevereiro!H29-saída_sexta,zero),IF(E29&lt;EntradaServiço,EntradaServiço-Fevereiro!E29,zero)+IF(Fevereiro!G29-Fevereiro!F29&lt;tempo_de_almoço,tempo_de_almoço-(Fevereiro!G29-Fevereiro!F29),zero)+IF(Fevereiro!H29&gt;saída_normal, Fevereiro!H29-saída_normal,zero)))))</f>
        <v>0</v>
      </c>
      <c r="J29" s="5">
        <f>IF(C29="Sim",zero,IF(D29="Sim",H29-E29,IF(OR(E29=zero,F29=zero,G29=zero,H29=zero),zero,IF(B29=6, IF(E29&gt;EntradaServiço, Fevereiro!E29-EntradaServiço,0)+ IF(G29-F29&gt;tempo_de_almoço, G29-F29-tempo_de_almoço,0)+IF(H29&lt;saída_sexta,saída_sexta-H29,0),IF(E29&gt;EntradaServiço, Fevereiro!E29-EntradaServiço,0)+ IF(G29-F29&gt;tempo_de_almoço, G29-F29-tempo_de_almoço,0)+IF(H29&lt;saída_normal,saída_normal-H29,0)))))+K29</f>
        <v>0</v>
      </c>
      <c r="K29" s="10">
        <v>0</v>
      </c>
    </row>
    <row r="30" spans="1:11" x14ac:dyDescent="0.25">
      <c r="A30" s="3">
        <f t="shared" si="1"/>
        <v>44252</v>
      </c>
      <c r="B30" s="4">
        <f t="shared" si="0"/>
        <v>5</v>
      </c>
      <c r="C30" s="11" t="s">
        <v>7</v>
      </c>
      <c r="D30" s="9" t="s">
        <v>7</v>
      </c>
      <c r="E30" s="10">
        <v>0</v>
      </c>
      <c r="F30" s="10">
        <v>0</v>
      </c>
      <c r="G30" s="10">
        <v>1</v>
      </c>
      <c r="H30" s="10">
        <v>0</v>
      </c>
      <c r="I30" s="2">
        <f>IF(C30="sim",zero,IF(D30="Sim", H30-E30,IF(OR(E30=zero,F30=zero,G30=zero,H30=zero),zero, IF(B30=6,IF(E30&lt;EntradaServiço,EntradaServiço-Fevereiro!E30,0)+IF(Fevereiro!G30-Fevereiro!F30&lt;tempo_de_almoço,tempo_de_almoço-(Fevereiro!G30-Fevereiro!F30),0)+IF(Fevereiro!H30&gt;saída_sexta, Fevereiro!H30-saída_sexta,zero),IF(E30&lt;EntradaServiço,EntradaServiço-Fevereiro!E30,zero)+IF(Fevereiro!G30-Fevereiro!F30&lt;tempo_de_almoço,tempo_de_almoço-(Fevereiro!G30-Fevereiro!F30),zero)+IF(Fevereiro!H30&gt;saída_normal, Fevereiro!H30-saída_normal,zero)))))</f>
        <v>0</v>
      </c>
      <c r="J30" s="5">
        <f>IF(C30="Sim",zero,IF(D30="Sim",H30-E30,IF(OR(E30=zero,F30=zero,G30=zero,H30=zero),zero,IF(B30=6, IF(E30&gt;EntradaServiço, Fevereiro!E30-EntradaServiço,0)+ IF(G30-F30&gt;tempo_de_almoço, G30-F30-tempo_de_almoço,0)+IF(H30&lt;saída_sexta,saída_sexta-H30,0),IF(E30&gt;EntradaServiço, Fevereiro!E30-EntradaServiço,0)+ IF(G30-F30&gt;tempo_de_almoço, G30-F30-tempo_de_almoço,0)+IF(H30&lt;saída_normal,saída_normal-H30,0)))))+K30</f>
        <v>0</v>
      </c>
      <c r="K30" s="10">
        <v>0</v>
      </c>
    </row>
    <row r="31" spans="1:11" x14ac:dyDescent="0.25">
      <c r="A31" s="3">
        <f t="shared" si="1"/>
        <v>44253</v>
      </c>
      <c r="B31" s="4">
        <f t="shared" si="0"/>
        <v>6</v>
      </c>
      <c r="C31" s="11" t="s">
        <v>7</v>
      </c>
      <c r="D31" s="9" t="s">
        <v>7</v>
      </c>
      <c r="E31" s="10">
        <v>0</v>
      </c>
      <c r="F31" s="10">
        <v>0</v>
      </c>
      <c r="G31" s="10">
        <v>0</v>
      </c>
      <c r="H31" s="10">
        <v>0</v>
      </c>
      <c r="I31" s="2">
        <f>IF(C31="sim",zero,IF(D31="Sim", H31-E31,IF(OR(E31=zero,F31=zero,G31=zero,H31=zero),zero, IF(B31=6,IF(E31&lt;EntradaServiço,EntradaServiço-Fevereiro!E31,0)+IF(Fevereiro!G31-Fevereiro!F31&lt;tempo_de_almoço,tempo_de_almoço-(Fevereiro!G31-Fevereiro!F31),0)+IF(Fevereiro!H31&gt;saída_sexta, Fevereiro!H31-saída_sexta,zero),IF(E31&lt;EntradaServiço,EntradaServiço-Fevereiro!E31,zero)+IF(Fevereiro!G31-Fevereiro!F31&lt;tempo_de_almoço,tempo_de_almoço-(Fevereiro!G31-Fevereiro!F31),zero)+IF(Fevereiro!H31&gt;saída_normal, Fevereiro!H31-saída_normal,zero)))))</f>
        <v>0</v>
      </c>
      <c r="J31" s="5">
        <f>IF(C31="Sim",zero,IF(D31="Sim",H31-E31,IF(OR(E31=zero,F31=zero,G31=zero,H31=zero),zero,IF(B31=6, IF(E31&gt;EntradaServiço, Fevereiro!E31-EntradaServiço,0)+ IF(G31-F31&gt;tempo_de_almoço, G31-F31-tempo_de_almoço,0)+IF(H31&lt;saída_sexta,saída_sexta-H31,0),IF(E31&gt;EntradaServiço, Fevereiro!E31-EntradaServiço,0)+ IF(G31-F31&gt;tempo_de_almoço, G31-F31-tempo_de_almoço,0)+IF(H31&lt;saída_normal,saída_normal-H31,0)))))+K31</f>
        <v>0</v>
      </c>
      <c r="K31" s="10">
        <v>0</v>
      </c>
    </row>
    <row r="32" spans="1:11" x14ac:dyDescent="0.25">
      <c r="A32" s="3">
        <f t="shared" si="1"/>
        <v>44254</v>
      </c>
      <c r="B32" s="4">
        <f t="shared" si="0"/>
        <v>7</v>
      </c>
      <c r="C32" s="11" t="s">
        <v>7</v>
      </c>
      <c r="D32" s="9" t="s">
        <v>7</v>
      </c>
      <c r="E32" s="10">
        <v>0</v>
      </c>
      <c r="F32" s="10">
        <v>0</v>
      </c>
      <c r="G32" s="10">
        <v>0</v>
      </c>
      <c r="H32" s="10">
        <v>0</v>
      </c>
      <c r="I32" s="2">
        <f>IF(C32="sim",zero,IF(D32="Sim", H32-E32,IF(OR(E32=zero,F32=zero,G32=zero,H32=zero),zero, IF(B32=6,IF(E32&lt;EntradaServiço,EntradaServiço-Fevereiro!E32,0)+IF(Fevereiro!G32-Fevereiro!F32&lt;tempo_de_almoço,tempo_de_almoço-(Fevereiro!G32-Fevereiro!F32),0)+IF(Fevereiro!H32&gt;saída_sexta, Fevereiro!H32-saída_sexta,zero),IF(E32&lt;EntradaServiço,EntradaServiço-Fevereiro!E32,zero)+IF(Fevereiro!G32-Fevereiro!F32&lt;tempo_de_almoço,tempo_de_almoço-(Fevereiro!G32-Fevereiro!F32),zero)+IF(Fevereiro!H32&gt;saída_normal, Fevereiro!H32-saída_normal,zero)))))</f>
        <v>0</v>
      </c>
      <c r="J32" s="5">
        <f>IF(C32="Sim",zero,IF(D32="Sim",H32-E32,IF(OR(E32=zero,F32=zero,G32=zero,H32=zero),zero,IF(B32=6, IF(E32&gt;EntradaServiço, Fevereiro!E32-EntradaServiço,0)+ IF(G32-F32&gt;tempo_de_almoço, G32-F32-tempo_de_almoço,0)+IF(H32&lt;saída_sexta,saída_sexta-H32,0),IF(E32&gt;EntradaServiço, Fevereiro!E32-EntradaServiço,0)+ IF(G32-F32&gt;tempo_de_almoço, G32-F32-tempo_de_almoço,0)+IF(H32&lt;saída_normal,saída_normal-H32,0)))))+K32</f>
        <v>0</v>
      </c>
      <c r="K32" s="10">
        <v>0</v>
      </c>
    </row>
    <row r="33" spans="1:11" x14ac:dyDescent="0.25">
      <c r="A33" s="3">
        <f t="shared" si="1"/>
        <v>44255</v>
      </c>
      <c r="B33" s="4">
        <f t="shared" si="0"/>
        <v>1</v>
      </c>
      <c r="C33" s="11" t="s">
        <v>7</v>
      </c>
      <c r="D33" s="9" t="s">
        <v>7</v>
      </c>
      <c r="E33" s="10">
        <v>0</v>
      </c>
      <c r="F33" s="10">
        <v>0</v>
      </c>
      <c r="G33" s="10">
        <v>0</v>
      </c>
      <c r="H33" s="10">
        <v>0</v>
      </c>
      <c r="I33" s="2">
        <f>IF(C33="sim",zero,IF(D33="Sim", H33-E33,IF(OR(E33=zero,F33=zero,G33=zero,H33=zero),zero, IF(B33=6,IF(E33&lt;EntradaServiço,EntradaServiço-Fevereiro!E33,0)+IF(Fevereiro!G33-Fevereiro!F33&lt;tempo_de_almoço,tempo_de_almoço-(Fevereiro!G33-Fevereiro!F33),0)+IF(Fevereiro!H33&gt;saída_sexta, Fevereiro!H33-saída_sexta,zero),IF(E33&lt;EntradaServiço,EntradaServiço-Fevereiro!E33,zero)+IF(Fevereiro!G33-Fevereiro!F33&lt;tempo_de_almoço,tempo_de_almoço-(Fevereiro!G33-Fevereiro!F33),zero)+IF(Fevereiro!H33&gt;saída_normal, Fevereiro!H33-saída_normal,zero)))))</f>
        <v>0</v>
      </c>
      <c r="J33" s="5">
        <f>IF(C33="Sim",zero,IF(D33="Sim",H33-E33,IF(OR(E33=zero,F33=zero,G33=zero,H33=zero),zero,IF(B33=6, IF(E33&gt;EntradaServiço, Fevereiro!E33-EntradaServiço,0)+ IF(G33-F33&gt;tempo_de_almoço, G33-F33-tempo_de_almoço,0)+IF(H33&lt;saída_sexta,saída_sexta-H33,0),IF(E33&gt;EntradaServiço, Fevereiro!E33-EntradaServiço,0)+ IF(G33-F33&gt;tempo_de_almoço, G33-F33-tempo_de_almoço,0)+IF(H33&lt;saída_normal,saída_normal-H33,0)))))+K33</f>
        <v>0</v>
      </c>
      <c r="K33" s="10">
        <v>0</v>
      </c>
    </row>
    <row r="34" spans="1:11" x14ac:dyDescent="0.25">
      <c r="A34" s="3"/>
      <c r="B34" s="3"/>
      <c r="C34" s="3"/>
      <c r="E34" s="9"/>
      <c r="F34" s="9"/>
      <c r="G34" s="9"/>
      <c r="H34" s="9"/>
      <c r="I34" s="2"/>
      <c r="J34" s="2"/>
    </row>
    <row r="35" spans="1:11" x14ac:dyDescent="0.25">
      <c r="A35" s="3"/>
      <c r="B35" s="3"/>
      <c r="C35" s="3"/>
      <c r="E35" s="9"/>
      <c r="F35" s="9"/>
      <c r="G35" s="9"/>
      <c r="H35" s="9"/>
      <c r="I35" s="2"/>
      <c r="J35" s="2"/>
    </row>
    <row r="36" spans="1:11" x14ac:dyDescent="0.25">
      <c r="A36" s="3"/>
      <c r="B36" s="3"/>
      <c r="C36" s="3"/>
      <c r="I36" s="2"/>
      <c r="J36" s="2"/>
    </row>
    <row r="37" spans="1:11" x14ac:dyDescent="0.25">
      <c r="A37" s="3"/>
      <c r="B37" s="3"/>
      <c r="C37" s="3"/>
      <c r="I37" s="2"/>
      <c r="J37" s="2"/>
    </row>
    <row r="38" spans="1:11" x14ac:dyDescent="0.25">
      <c r="A38" s="3"/>
      <c r="B38" s="3"/>
      <c r="C38" s="3"/>
    </row>
    <row r="39" spans="1:11" x14ac:dyDescent="0.25">
      <c r="A39" s="3"/>
      <c r="B39" s="3"/>
      <c r="C39" s="3"/>
    </row>
    <row r="40" spans="1:11" x14ac:dyDescent="0.25">
      <c r="A40" s="3"/>
      <c r="B40" s="3"/>
      <c r="C40" s="3"/>
    </row>
    <row r="41" spans="1:11" x14ac:dyDescent="0.25">
      <c r="A41" s="3"/>
      <c r="B41" s="3"/>
      <c r="C41" s="3"/>
    </row>
    <row r="42" spans="1:11" x14ac:dyDescent="0.25">
      <c r="A42" s="3"/>
      <c r="B42" s="3"/>
      <c r="C42" s="3"/>
    </row>
  </sheetData>
  <sheetProtection selectLockedCells="1"/>
  <mergeCells count="2">
    <mergeCell ref="D1:J1"/>
    <mergeCell ref="G2:H2"/>
  </mergeCells>
  <dataValidations count="16">
    <dataValidation type="list" allowBlank="1" showInputMessage="1" showErrorMessage="1" sqref="C6:D33" xr:uid="{344D016A-1A4D-472C-B3B1-0192AC821D25}">
      <formula1>opçôesFeriado</formula1>
    </dataValidation>
    <dataValidation type="custom" allowBlank="1" showErrorMessage="1" errorTitle="Insira Valores válidos!" error="Apenas são aceitos valores menores que o total de minutos descontados e que sejam valores entre 00:00 23:59" sqref="K6:K33" xr:uid="{06310ABF-FF74-423C-8856-895B89C872A1}">
      <formula1>AND(K6&lt;=J6, K6&gt;= zero, K6 &lt;Horario_maximo)</formula1>
    </dataValidation>
    <dataValidation allowBlank="1" showInputMessage="1" showErrorMessage="1" promptTitle="Faltou" prompt="Selecione se o funcionário faltou ou não no dia." sqref="C5" xr:uid="{88DD0206-ED52-49C0-A063-EC86586141CB}"/>
    <dataValidation allowBlank="1" showInputMessage="1" showErrorMessage="1" promptTitle="Feriado/Dias de folga" prompt="Informe se é feriado ou dia de folga do funcionário. Caso seja, Preencher apenas os campos de horário de chegada e saída do serviço" sqref="D5" xr:uid="{25E88C27-3F2F-4D8F-8403-73E356CE17F8}"/>
    <dataValidation allowBlank="1" showInputMessage="1" showErrorMessage="1" promptTitle="Horário de chegada" prompt="Informe em que horário o funcionário chegou ao trabalho no dia." sqref="E5" xr:uid="{2E5738E5-31C3-40B8-A4C8-1E58ACC77416}"/>
    <dataValidation allowBlank="1" showInputMessage="1" showErrorMessage="1" promptTitle="Saída para o almoço" prompt="Informe qual horário o funcionário saiu para o almoço" sqref="F5" xr:uid="{6FE71123-408A-46F3-A021-6E9EAD6788CE}"/>
    <dataValidation allowBlank="1" showInputMessage="1" showErrorMessage="1" promptTitle="Volta do almoço" prompt="Informe qual horário em que o funcionário voltou de seu intervalo de almoço" sqref="G5" xr:uid="{BFE86D6F-157F-4FC6-B240-C9683501394C}"/>
    <dataValidation allowBlank="1" showInputMessage="1" showErrorMessage="1" promptTitle="Saída do serviço" prompt="Informe o horário em que o funcionário encerrou seu expediente" sqref="H5" xr:uid="{B2DC5780-087C-4D04-9E02-1E528B5A09C5}"/>
    <dataValidation allowBlank="1" showInputMessage="1" showErrorMessage="1" promptTitle="Total de tempo extra" prompt="Mostra o total de tempo extra do funcionário no dia. Exemplo: se chegou antes do horário o tempo será somado aqui" sqref="I5" xr:uid="{DF46CA88-AD9C-4B5A-AAA1-33DABCAB16C2}"/>
    <dataValidation allowBlank="1" showInputMessage="1" showErrorMessage="1" promptTitle="Total de tempo a descontar" prompt="Mostra o total de tempo a ser descontado do funcionário. Exemplo:  se saiu antes antes do serviço o tempo será cálculado e exibido aqui." sqref="J5" xr:uid="{34652D22-DBDF-4ACD-8476-16CA8CB38561}"/>
    <dataValidation allowBlank="1" showInputMessage="1" showErrorMessage="1" promptTitle="Adicionar Desconto" prompt="O valor preenchido aqui será somado ao campo &quot;Total tempo descontado&quot;. Esse campo pode ser útil caso o funcionário passe algum peíodo fora do serviço. Exemplo: funcionário se ausentou das 14h ás 13h, portando deve-se preencher esse campo com 01:00_x000a_" sqref="K5" xr:uid="{BF33DE4F-6722-4B0D-B1F2-1C50E420CB51}"/>
    <dataValidation type="custom" allowBlank="1" showErrorMessage="1" errorTitle="Insira valores válidos!" error="O horário de saída tem que ser maior que o horário de chegada!" promptTitle="Insira valores válidos!" sqref="H6:H7" xr:uid="{AE759B0C-84A9-490F-837C-C5445A3015D2}">
      <formula1>H6&gt;E6</formula1>
    </dataValidation>
    <dataValidation type="custom" allowBlank="1" showInputMessage="1" showErrorMessage="1" errorTitle="Insira dados válidos" error="O horário de volta do almoço tem que ser maior que o horáiode saída!" sqref="G6:G33" xr:uid="{4CA6EEBD-2B75-4EF9-AD76-399EBBE7B34F}">
      <formula1>G6&gt;=F6</formula1>
    </dataValidation>
    <dataValidation type="custom" allowBlank="1" showInputMessage="1" showErrorMessage="1" errorTitle="Insira valores válidos!" error="O horário de saída para o almoço tem que ser menor que o horário de volta do almoço!" sqref="F6" xr:uid="{4B40D7F4-1E8B-4838-91CD-129999C01844}">
      <formula1>F6&lt;G6</formula1>
    </dataValidation>
    <dataValidation allowBlank="1" showInputMessage="1" showErrorMessage="1" promptTitle="Aviso" prompt="Os tempos extras/descontados aparecerão somente se os 4 Horários estiverem preenchidos._x000a__x000a_A unica excessão é caso o campo Feriado estiver selecionado como &quot;Sim&quot;. Nesse caso, apenas os horários de chegada e saída deverão ser preenchidos" sqref="G2:H2" xr:uid="{13CDEFFA-3964-4C87-AF38-584B7169245D}"/>
    <dataValidation type="custom" allowBlank="1" showErrorMessage="1" errorTitle="Insira valores válidos!" error="O horário de chegada tem que ser maior que o de saída!" sqref="E6:E33" xr:uid="{A7AD1F17-FE89-4C4E-8AF7-066FB055C9B4}">
      <formula1>E6&lt;=H6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508DA-EACF-4657-AD9F-967CE990F473}">
  <sheetPr codeName="Planilha2"/>
  <dimension ref="A1:O16"/>
  <sheetViews>
    <sheetView tabSelected="1" workbookViewId="0">
      <selection activeCell="B13" sqref="B13:D13"/>
    </sheetView>
  </sheetViews>
  <sheetFormatPr defaultRowHeight="15" x14ac:dyDescent="0.25"/>
  <cols>
    <col min="1" max="1" width="18.42578125" customWidth="1"/>
    <col min="6" max="6" width="9.140625" customWidth="1"/>
    <col min="10" max="10" width="19.140625" customWidth="1"/>
  </cols>
  <sheetData>
    <row r="1" spans="1:15" x14ac:dyDescent="0.25">
      <c r="G1" s="6" t="s">
        <v>0</v>
      </c>
      <c r="H1" s="6"/>
      <c r="I1" s="6"/>
      <c r="J1" s="6"/>
      <c r="K1" s="6"/>
      <c r="L1" s="6"/>
      <c r="M1" s="6"/>
      <c r="N1" s="6"/>
      <c r="O1" s="6"/>
    </row>
    <row r="3" spans="1:15" x14ac:dyDescent="0.25">
      <c r="A3" t="s">
        <v>5</v>
      </c>
      <c r="C3" s="6"/>
      <c r="D3" s="6"/>
    </row>
    <row r="4" spans="1:15" x14ac:dyDescent="0.25">
      <c r="A4" t="s">
        <v>6</v>
      </c>
      <c r="C4" s="1"/>
      <c r="D4" s="1"/>
    </row>
    <row r="5" spans="1:15" x14ac:dyDescent="0.25">
      <c r="A5" t="s">
        <v>7</v>
      </c>
      <c r="C5" s="2"/>
      <c r="D5" s="2"/>
    </row>
    <row r="10" spans="1:15" x14ac:dyDescent="0.25">
      <c r="B10" s="6" t="s">
        <v>15</v>
      </c>
      <c r="C10" s="6"/>
      <c r="D10" s="6"/>
    </row>
    <row r="11" spans="1:15" x14ac:dyDescent="0.25">
      <c r="A11" t="s">
        <v>16</v>
      </c>
      <c r="B11" s="7">
        <v>0</v>
      </c>
      <c r="C11" s="6"/>
      <c r="D11" s="6"/>
    </row>
    <row r="12" spans="1:15" x14ac:dyDescent="0.25">
      <c r="A12" t="s">
        <v>10</v>
      </c>
      <c r="B12" s="12">
        <v>0.32291666666666669</v>
      </c>
      <c r="C12" s="13"/>
      <c r="D12" s="13"/>
    </row>
    <row r="13" spans="1:15" x14ac:dyDescent="0.25">
      <c r="A13" t="s">
        <v>11</v>
      </c>
      <c r="B13" s="12">
        <v>0.72569444444444453</v>
      </c>
      <c r="C13" s="13"/>
      <c r="D13" s="13"/>
      <c r="F13" s="2"/>
    </row>
    <row r="14" spans="1:15" x14ac:dyDescent="0.25">
      <c r="A14" t="s">
        <v>12</v>
      </c>
      <c r="B14" s="12">
        <v>0.73263888888888884</v>
      </c>
      <c r="C14" s="13"/>
      <c r="D14" s="13"/>
      <c r="F14" s="2"/>
    </row>
    <row r="15" spans="1:15" x14ac:dyDescent="0.25">
      <c r="A15" t="s">
        <v>13</v>
      </c>
      <c r="B15" s="12">
        <v>4.1666666666666664E-2</v>
      </c>
      <c r="C15" s="13"/>
      <c r="D15" s="13"/>
    </row>
    <row r="16" spans="1:15" x14ac:dyDescent="0.25">
      <c r="A16" t="s">
        <v>19</v>
      </c>
      <c r="B16" s="7">
        <v>0.99930555555555556</v>
      </c>
      <c r="C16" s="6"/>
      <c r="D16" s="6"/>
    </row>
  </sheetData>
  <mergeCells count="9">
    <mergeCell ref="B16:D16"/>
    <mergeCell ref="G1:O1"/>
    <mergeCell ref="C3:D3"/>
    <mergeCell ref="B15:D15"/>
    <mergeCell ref="B10:D10"/>
    <mergeCell ref="B11:D11"/>
    <mergeCell ref="B12:D12"/>
    <mergeCell ref="B13:D13"/>
    <mergeCell ref="B14:D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7</vt:i4>
      </vt:variant>
    </vt:vector>
  </HeadingPairs>
  <TitlesOfParts>
    <vt:vector size="9" baseType="lpstr">
      <vt:lpstr>Fevereiro</vt:lpstr>
      <vt:lpstr>configurações</vt:lpstr>
      <vt:lpstr>EntradaServiço</vt:lpstr>
      <vt:lpstr>Horario_maximo</vt:lpstr>
      <vt:lpstr>opçôesFeriado</vt:lpstr>
      <vt:lpstr>saída_normal</vt:lpstr>
      <vt:lpstr>saída_sexta</vt:lpstr>
      <vt:lpstr>tempo_de_almoço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gfeli</dc:creator>
  <cp:lastModifiedBy>gfeli</cp:lastModifiedBy>
  <dcterms:created xsi:type="dcterms:W3CDTF">2021-01-27T18:07:16Z</dcterms:created>
  <dcterms:modified xsi:type="dcterms:W3CDTF">2021-01-30T02:51:38Z</dcterms:modified>
</cp:coreProperties>
</file>