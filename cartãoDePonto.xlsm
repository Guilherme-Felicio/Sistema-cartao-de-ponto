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feli\Desktop\cartãoDePonto\"/>
    </mc:Choice>
  </mc:AlternateContent>
  <xr:revisionPtr revIDLastSave="0" documentId="13_ncr:1_{5D504932-C0C0-42EB-9D78-939FECE2FAF1}" xr6:coauthVersionLast="46" xr6:coauthVersionMax="46" xr10:uidLastSave="{00000000-0000-0000-0000-000000000000}"/>
  <bookViews>
    <workbookView xWindow="-120" yWindow="-120" windowWidth="20730" windowHeight="11160" xr2:uid="{B4A0CF95-5387-4B9D-A6EC-17CAAC5ECB36}"/>
  </bookViews>
  <sheets>
    <sheet name="Fevereiro" sheetId="1" r:id="rId1"/>
    <sheet name="configurações" sheetId="2" r:id="rId2"/>
  </sheets>
  <functionGroups builtInGroupCount="19"/>
  <definedNames>
    <definedName name="EntradaServiço">configurações!$B$12</definedName>
    <definedName name="opçôesFeriado">configurações!$A$4:$A$5</definedName>
    <definedName name="saída_normal">configurações!$B$14</definedName>
    <definedName name="saída_sexta">configurações!$B$13</definedName>
    <definedName name="tempo_de_almoço">configurações!$B$15</definedName>
    <definedName name="zero">configurações!$B$11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1" l="1"/>
  <c r="I6" i="1"/>
  <c r="H7" i="1"/>
  <c r="G7" i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F7" i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E7" i="1"/>
  <c r="E8" i="1" s="1"/>
  <c r="E9" i="1" s="1"/>
  <c r="E10" i="1" s="1"/>
  <c r="E11" i="1" s="1"/>
  <c r="E12" i="1" s="1"/>
  <c r="A6" i="1"/>
  <c r="B6" i="1" s="1"/>
  <c r="H8" i="1" l="1"/>
  <c r="E13" i="1"/>
  <c r="A7" i="1"/>
  <c r="B7" i="1" s="1"/>
  <c r="J7" i="1" s="1"/>
  <c r="H9" i="1" l="1"/>
  <c r="E14" i="1"/>
  <c r="A8" i="1"/>
  <c r="H10" i="1" l="1"/>
  <c r="E15" i="1"/>
  <c r="A9" i="1"/>
  <c r="B8" i="1"/>
  <c r="J8" i="1" s="1"/>
  <c r="H11" i="1" l="1"/>
  <c r="E16" i="1"/>
  <c r="A10" i="1"/>
  <c r="B9" i="1"/>
  <c r="J9" i="1" s="1"/>
  <c r="H12" i="1" l="1"/>
  <c r="E17" i="1"/>
  <c r="A11" i="1"/>
  <c r="B10" i="1"/>
  <c r="J10" i="1" s="1"/>
  <c r="H13" i="1" l="1"/>
  <c r="E18" i="1"/>
  <c r="A12" i="1"/>
  <c r="B11" i="1"/>
  <c r="J11" i="1" s="1"/>
  <c r="H14" i="1" l="1"/>
  <c r="E19" i="1"/>
  <c r="A13" i="1"/>
  <c r="B12" i="1"/>
  <c r="J12" i="1" l="1"/>
  <c r="I12" i="1"/>
  <c r="H15" i="1"/>
  <c r="E20" i="1"/>
  <c r="A14" i="1"/>
  <c r="B13" i="1"/>
  <c r="J13" i="1" l="1"/>
  <c r="I13" i="1"/>
  <c r="H16" i="1"/>
  <c r="E21" i="1"/>
  <c r="A15" i="1"/>
  <c r="B14" i="1"/>
  <c r="J14" i="1" l="1"/>
  <c r="I14" i="1"/>
  <c r="H17" i="1"/>
  <c r="E22" i="1"/>
  <c r="A16" i="1"/>
  <c r="B15" i="1"/>
  <c r="I15" i="1" l="1"/>
  <c r="J15" i="1"/>
  <c r="H18" i="1"/>
  <c r="E23" i="1"/>
  <c r="I11" i="1"/>
  <c r="A17" i="1"/>
  <c r="B16" i="1"/>
  <c r="J16" i="1" l="1"/>
  <c r="I16" i="1"/>
  <c r="H19" i="1"/>
  <c r="E24" i="1"/>
  <c r="I10" i="1"/>
  <c r="A18" i="1"/>
  <c r="B17" i="1"/>
  <c r="I17" i="1" l="1" a="1"/>
  <c r="I17" i="1" s="1"/>
  <c r="J17" i="1"/>
  <c r="H20" i="1"/>
  <c r="E25" i="1"/>
  <c r="I9" i="1"/>
  <c r="A19" i="1"/>
  <c r="B18" i="1"/>
  <c r="J18" i="1" l="1"/>
  <c r="I18" i="1"/>
  <c r="H21" i="1"/>
  <c r="E26" i="1"/>
  <c r="I8" i="1"/>
  <c r="A20" i="1"/>
  <c r="B19" i="1"/>
  <c r="J19" i="1" l="1"/>
  <c r="I19" i="1"/>
  <c r="H22" i="1"/>
  <c r="E27" i="1"/>
  <c r="I7" i="1"/>
  <c r="A21" i="1"/>
  <c r="B20" i="1"/>
  <c r="J20" i="1" l="1"/>
  <c r="I20" i="1"/>
  <c r="H23" i="1"/>
  <c r="E28" i="1"/>
  <c r="A22" i="1"/>
  <c r="B21" i="1"/>
  <c r="J21" i="1" l="1"/>
  <c r="I21" i="1"/>
  <c r="H24" i="1"/>
  <c r="E29" i="1"/>
  <c r="A23" i="1"/>
  <c r="B22" i="1"/>
  <c r="J22" i="1" l="1"/>
  <c r="I22" i="1"/>
  <c r="H25" i="1"/>
  <c r="E30" i="1"/>
  <c r="A24" i="1"/>
  <c r="B23" i="1"/>
  <c r="J23" i="1" l="1"/>
  <c r="I23" i="1"/>
  <c r="H26" i="1"/>
  <c r="E31" i="1"/>
  <c r="A25" i="1"/>
  <c r="B24" i="1"/>
  <c r="J24" i="1" l="1"/>
  <c r="I24" i="1"/>
  <c r="H27" i="1"/>
  <c r="E32" i="1"/>
  <c r="A26" i="1"/>
  <c r="B25" i="1"/>
  <c r="J25" i="1" l="1"/>
  <c r="I25" i="1"/>
  <c r="H28" i="1"/>
  <c r="E33" i="1"/>
  <c r="A27" i="1"/>
  <c r="B26" i="1"/>
  <c r="J26" i="1" l="1"/>
  <c r="I26" i="1"/>
  <c r="H29" i="1"/>
  <c r="A28" i="1"/>
  <c r="B27" i="1"/>
  <c r="J27" i="1" l="1"/>
  <c r="I27" i="1"/>
  <c r="H30" i="1"/>
  <c r="A29" i="1"/>
  <c r="B28" i="1"/>
  <c r="J28" i="1" l="1"/>
  <c r="I28" i="1"/>
  <c r="H31" i="1"/>
  <c r="A30" i="1"/>
  <c r="B29" i="1"/>
  <c r="J29" i="1" l="1"/>
  <c r="I29" i="1"/>
  <c r="H32" i="1"/>
  <c r="A31" i="1"/>
  <c r="B30" i="1"/>
  <c r="J30" i="1" l="1"/>
  <c r="I30" i="1"/>
  <c r="H33" i="1"/>
  <c r="A32" i="1"/>
  <c r="B31" i="1"/>
  <c r="I31" i="1" l="1"/>
  <c r="J31" i="1"/>
  <c r="A33" i="1"/>
  <c r="B33" i="1" s="1"/>
  <c r="J33" i="1" s="1"/>
  <c r="B32" i="1"/>
  <c r="J32" i="1" l="1"/>
  <c r="I32" i="1"/>
  <c r="I3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<sst xmlns="http://schemas.openxmlformats.org/spreadsheetml/2006/main" count="78" uniqueCount="22">
  <si>
    <t>Planilha cartão de ponto</t>
  </si>
  <si>
    <t>Configurações</t>
  </si>
  <si>
    <t>Feriado</t>
  </si>
  <si>
    <t>Saída p/ almoço</t>
  </si>
  <si>
    <t>Volta do almoço</t>
  </si>
  <si>
    <t>Saída serviço</t>
  </si>
  <si>
    <t xml:space="preserve">caixa de opções </t>
  </si>
  <si>
    <t>Sim</t>
  </si>
  <si>
    <t>Não</t>
  </si>
  <si>
    <t>Dia do ano</t>
  </si>
  <si>
    <t>Total minutos extras</t>
  </si>
  <si>
    <t>Total minutos descontados</t>
  </si>
  <si>
    <t>Dia</t>
  </si>
  <si>
    <t>Adicionar desconto</t>
  </si>
  <si>
    <t>Entrada de Serviço:</t>
  </si>
  <si>
    <t>saída sexta</t>
  </si>
  <si>
    <t>saída normal</t>
  </si>
  <si>
    <t>tempo de almoço</t>
  </si>
  <si>
    <t>Horário de chegada</t>
  </si>
  <si>
    <t>Lista para auxiliar nos cálculos</t>
  </si>
  <si>
    <t>Zero</t>
  </si>
  <si>
    <t>Faltou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</si>
</sst>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20" fontId="0" fillId="0" borderId="0" xfId="0" applyNumberFormat="1"/>
    <xf numFmtId="14" fontId="0" fillId="0" borderId="0" xfId="0" applyNumberFormat="1"/>
    <xf numFmtId="16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20" fontId="0" fillId="0" borderId="0" xfId="0" applyNumberFormat="1" applyAlignment="1">
      <alignment horizontal="center"/>
    </xf>
    <xf numFmtId="20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0C8D7-CE40-4CB3-B4AC-7FCE2A30E165}">
  <sheetPr codeName="Planilha1"/>
  <dimension ref="A1:N42"/>
  <sheetViews>
    <sheetView tabSelected="1" workbookViewId="0">
      <selection activeCell="J6" sqref="J6"/>
    </sheetView>
  </sheetViews>
  <sheetFormatPr defaultRowHeight="15" x14ac:dyDescent="0.25"/>
  <cols>
    <col min="1" max="1" width="10.7109375" customWidth="1"/>
    <col min="2" max="3" width="6.85546875" customWidth="1"/>
    <col min="4" max="4" width="11" customWidth="1"/>
    <col min="5" max="5" width="17.5703125" customWidth="1"/>
    <col min="6" max="6" width="15.5703125" customWidth="1"/>
    <col min="7" max="7" width="15.7109375" customWidth="1"/>
    <col min="8" max="8" width="12.85546875" customWidth="1"/>
    <col min="9" max="9" width="19.85546875" customWidth="1"/>
    <col min="10" max="10" width="24.5703125" customWidth="1"/>
    <col min="11" max="11" width="19" customWidth="1"/>
    <col min="12" max="12" width="19.42578125" customWidth="1"/>
  </cols>
  <sheetData>
    <row r="1" spans="1:14" x14ac:dyDescent="0.25">
      <c r="G1" s="5" t="s">
        <v>0</v>
      </c>
      <c r="H1" s="5"/>
      <c r="I1" s="5"/>
      <c r="J1" s="5"/>
      <c r="K1" s="5"/>
      <c r="L1" s="5"/>
      <c r="M1" s="5"/>
      <c r="N1" s="5"/>
    </row>
    <row r="3" spans="1:14" x14ac:dyDescent="0.25">
      <c r="A3" s="3"/>
      <c r="B3" s="3"/>
      <c r="C3" s="3"/>
    </row>
    <row r="4" spans="1:14" x14ac:dyDescent="0.25">
      <c r="A4" s="3"/>
      <c r="B4" s="3"/>
      <c r="C4" s="3"/>
    </row>
    <row r="5" spans="1:14" x14ac:dyDescent="0.25">
      <c r="A5" t="s">
        <v>9</v>
      </c>
      <c r="B5" t="s">
        <v>12</v>
      </c>
      <c r="C5" t="s">
        <v>21</v>
      </c>
      <c r="D5" t="s">
        <v>2</v>
      </c>
      <c r="E5" t="s">
        <v>18</v>
      </c>
      <c r="F5" t="s">
        <v>3</v>
      </c>
      <c r="G5" t="s">
        <v>4</v>
      </c>
      <c r="H5" t="s">
        <v>5</v>
      </c>
      <c r="I5" t="s">
        <v>10</v>
      </c>
      <c r="J5" t="s">
        <v>11</v>
      </c>
      <c r="L5" t="s">
        <v>13</v>
      </c>
    </row>
    <row r="6" spans="1:14" x14ac:dyDescent="0.25">
      <c r="A6" s="3">
        <f>DATE(2021,2,1)</f>
        <v>44228</v>
      </c>
      <c r="B6" s="4">
        <f>WEEKDAY(A6)</f>
        <v>2</v>
      </c>
      <c r="C6" s="4" t="s">
        <v>7</v>
      </c>
      <c r="D6" t="s">
        <v>8</v>
      </c>
      <c r="E6" s="2">
        <v>0.31944444444444448</v>
      </c>
      <c r="F6" s="2">
        <v>0.5</v>
      </c>
      <c r="G6" s="2">
        <v>0.54236111111111118</v>
      </c>
      <c r="H6" s="2">
        <v>0.71875</v>
      </c>
      <c r="I6" s="2">
        <f>IF(C6="Sim",0,IF(D6="Sim",H6-E6,IF(B6=6,IF(E6&lt;EntradaServiço,EntradaServiço-Fevereiro!E6+IF(G6-F6&lt;tempo_de_almoço,tempo_de_almoço-(Fevereiro!G6-Fevereiro!F6)+IF(H6&gt;saída_sexta,H6-saída_sexta,zero),0+IF(H6&gt;saída_sexta,H6-saída_sexta,zero)), 0+IF(G6-F6&lt;tempo_de_almoço,tempo_de_almoço-(Fevereiro!G6-Fevereiro!F6)+IF(H6&gt;saída_sexta,H6-saída_sexta,zero),0+IF(H6&gt;saída_sexta,H6-saída_sexta,zero))),IF(E6&lt;EntradaServiço,EntradaServiço-Fevereiro!E6+IF(G6-F6&lt;tempo_de_almoço,tempo_de_almoço-(Fevereiro!G6-Fevereiro!F6)+IF(H6&gt;saída_normal,H6-saída_normal,zero),0+IF(H6&gt;saída_normal,H6-saída_normal,zero)), 0+IF(G6-F6&lt;tempo_de_almoço,tempo_de_almoço-(Fevereiro!G6-Fevereiro!F6)+IF(H6&gt;saída_normal,H6-saída_normal,zero),0+IF(H6&gt;saída_normal,H6-saída_normal,zero))))))</f>
        <v>0</v>
      </c>
      <c r="J6" s="7">
        <f>IF(C6="sim",0,IF(D6="Sim",H6-E6,IF(B6=6,IF(E6&gt;EntradaServiço,(Fevereiro!E6-EntradaServiço)+IF(G6-F6&gt;tempo_de_almoço,(Fevereiro!G6-Fevereiro!F6)-tempo_de_almoço+IF(H6&lt;saída_sexta,saída_sexta-H6,zero),0+IF(H6&lt;saída_sexta,saída_sexta-H6,zero)), 0+IF(G6-F6&gt;tempo_de_almoço,(Fevereiro!G6-Fevereiro!F6)-tempo_de_almoço+IF(H6&lt;saída_sexta,saída_sexta-H6,zero),0+IF(H6&lt;saída_sexta,saída_sexta-H6,zero))),IF(E6&gt;EntradaServiço,(Fevereiro!E6-EntradaServiço)+IF(G6-F6&gt;tempo_de_almoço,(Fevereiro!G6-Fevereiro!F6)-tempo_de_almoço+IF(H6&lt;saída_normal,saída_normal-H6,zero),0+IF(H6&lt;saída_normal,saída_normal-H6,zero)), 0+IF(G6-F6&gt;tempo_de_almoço,(Fevereiro!G6-Fevereiro!F6)-tempo_de_almoço+IF(H6&lt;saída_normal,saída_normal-H6,zero),0+IF(H6&lt;saída_normal,saída_normal-H6,zero))))))</f>
        <v>0</v>
      </c>
    </row>
    <row r="7" spans="1:14" x14ac:dyDescent="0.25">
      <c r="A7" s="3">
        <f>A6+1</f>
        <v>44229</v>
      </c>
      <c r="B7" s="4">
        <f>WEEKDAY(A7)</f>
        <v>3</v>
      </c>
      <c r="C7" s="4" t="s">
        <v>8</v>
      </c>
      <c r="D7" t="s">
        <v>8</v>
      </c>
      <c r="E7" s="2">
        <f>E6</f>
        <v>0.31944444444444448</v>
      </c>
      <c r="F7" s="2">
        <f>F6</f>
        <v>0.5</v>
      </c>
      <c r="G7" s="2">
        <f>G6</f>
        <v>0.54236111111111118</v>
      </c>
      <c r="H7" s="2">
        <f>H6</f>
        <v>0.71875</v>
      </c>
      <c r="I7" s="2">
        <f>IF(D7="Sim",H7-E7,IF(B7=6,IF(E7&lt;EntradaServiço,EntradaServiço-Fevereiro!E7+IF(G7-F7&lt;tempo_de_almoço,tempo_de_almoço-(Fevereiro!G7-Fevereiro!F7)+IF(H7&gt;saída_sexta,H7-saída_sexta,zero),0+IF(H7&gt;saída_sexta,H7-saída_sexta,zero)), 0+IF(G7-F7&lt;tempo_de_almoço,tempo_de_almoço-(Fevereiro!G7-Fevereiro!F7)+IF(H7&gt;saída_sexta,H7-saída_sexta,zero),0+IF(H7&gt;saída_sexta,H7-saída_sexta,zero))),IF(E7&lt;EntradaServiço,EntradaServiço-Fevereiro!E7+IF(G7-F7&lt;tempo_de_almoço,tempo_de_almoço-(Fevereiro!G7-Fevereiro!F7)+IF(H7&gt;saída_normal,H7-saída_normal,zero),0+IF(H7&gt;saída_normal,H7-saída_normal,zero)), 0+IF(G7-F7&lt;tempo_de_almoço,tempo_de_almoço-(Fevereiro!G7-Fevereiro!F7)+IF(H7&gt;saída_normal,H7-saída_normal,zero),0+IF(H7&gt;saída_normal,H7-saída_normal,zero)))))</f>
        <v>3.4722222222222099E-3</v>
      </c>
      <c r="J7" s="2">
        <f>IF(D7="Sim",H7-E7,IF(B7=6,IF(E7&gt;EntradaServiço,(Fevereiro!E7-EntradaServiço)+IF(G7-F7&gt;tempo_de_almoço,(Fevereiro!G7-Fevereiro!F7)-tempo_de_almoço+IF(H7&lt;saída_sexta,saída_sexta-H7,zero),0+IF(H7&lt;saída_sexta,saída_sexta-H7,zero)), 0+IF(G7-F7&gt;tempo_de_almoço,(Fevereiro!G7-Fevereiro!F7)-tempo_de_almoço+IF(H7&lt;saída_sexta,saída_sexta-H7,zero),0+IF(H7&lt;saída_sexta,saída_sexta-H7,zero))),IF(E7&gt;EntradaServiço,(Fevereiro!E7-EntradaServiço)+IF(G7-F7&gt;tempo_de_almoço,(Fevereiro!G7-Fevereiro!F7)-tempo_de_almoço+IF(H7&lt;saída_normal,saída_normal-H7,zero),0+IF(H7&lt;saída_normal,saída_normal-H7,zero)), 0+IF(G7-F7&gt;tempo_de_almoço,(Fevereiro!G7-Fevereiro!F7)-tempo_de_almoço+IF(H7&lt;saída_normal,saída_normal-H7,zero),0+IF(H7&lt;saída_normal,saída_normal-H7,zero)))))</f>
        <v>1.4583333333333358E-2</v>
      </c>
      <c r="K7" s="2"/>
    </row>
    <row r="8" spans="1:14" x14ac:dyDescent="0.25">
      <c r="A8" s="3">
        <f t="shared" ref="A8:A33" si="0">A7+1</f>
        <v>44230</v>
      </c>
      <c r="B8" s="4">
        <f>WEEKDAY(A8)</f>
        <v>4</v>
      </c>
      <c r="C8" s="4" t="s">
        <v>8</v>
      </c>
      <c r="D8" t="s">
        <v>8</v>
      </c>
      <c r="E8" s="2">
        <f t="shared" ref="E8:E33" si="1">E7</f>
        <v>0.31944444444444448</v>
      </c>
      <c r="F8" s="2">
        <f t="shared" ref="F8:F33" si="2">F7</f>
        <v>0.5</v>
      </c>
      <c r="G8" s="2">
        <f t="shared" ref="G8:G33" si="3">G7</f>
        <v>0.54236111111111118</v>
      </c>
      <c r="H8" s="2">
        <f t="shared" ref="H8:H33" si="4">H7</f>
        <v>0.71875</v>
      </c>
      <c r="I8" s="2">
        <f>IF(D8="Sim",H8-E8,IF(B8=6,IF(E8&lt;EntradaServiço,EntradaServiço-Fevereiro!E8+IF(G8-F8&lt;tempo_de_almoço,tempo_de_almoço-(Fevereiro!G8-Fevereiro!F8)+IF(H8&gt;saída_sexta,H8-saída_sexta,zero),0+IF(H8&gt;saída_sexta,H8-saída_sexta,zero)), 0+IF(G8-F8&lt;tempo_de_almoço,tempo_de_almoço-(Fevereiro!G8-Fevereiro!F8)+IF(H8&gt;saída_sexta,H8-saída_sexta,zero),0+IF(H8&gt;saída_sexta,H8-saída_sexta,zero))),IF(E8&lt;EntradaServiço,EntradaServiço-Fevereiro!E8+IF(G8-F8&lt;tempo_de_almoço,tempo_de_almoço-(Fevereiro!G8-Fevereiro!F8)+IF(H8&gt;saída_normal,H8-saída_normal,zero),0+IF(H8&gt;saída_normal,H8-saída_normal,zero)), 0+IF(G8-F8&lt;tempo_de_almoço,tempo_de_almoço-(Fevereiro!G8-Fevereiro!F8)+IF(H8&gt;saída_normal,H8-saída_normal,zero),0+IF(H8&gt;saída_normal,H8-saída_normal,zero)))))</f>
        <v>3.4722222222222099E-3</v>
      </c>
      <c r="J8" s="2">
        <f>IF(D8="Sim",H8-E8,IF(B8=6,IF(E8&gt;EntradaServiço,(Fevereiro!E8-EntradaServiço)+IF(G8-F8&gt;tempo_de_almoço,(Fevereiro!G8-Fevereiro!F8)-tempo_de_almoço+IF(H8&lt;saída_sexta,saída_sexta-H8,zero),0+IF(H8&lt;saída_sexta,saída_sexta-H8,zero)), 0+IF(G8-F8&gt;tempo_de_almoço,(Fevereiro!G8-Fevereiro!F8)-tempo_de_almoço+IF(H8&lt;saída_sexta,saída_sexta-H8,zero),0+IF(H8&lt;saída_sexta,saída_sexta-H8,zero))),IF(E8&gt;EntradaServiço,(Fevereiro!E8-EntradaServiço)+IF(G8-F8&gt;tempo_de_almoço,(Fevereiro!G8-Fevereiro!F8)-tempo_de_almoço+IF(H8&lt;saída_normal,saída_normal-H8,zero),0+IF(H8&lt;saída_normal,saída_normal-H8,zero)), 0+IF(G8-F8&gt;tempo_de_almoço,(Fevereiro!G8-Fevereiro!F8)-tempo_de_almoço+IF(H8&lt;saída_normal,saída_normal-H8,zero),0+IF(H8&lt;saída_normal,saída_normal-H8,zero)))))</f>
        <v>1.4583333333333358E-2</v>
      </c>
    </row>
    <row r="9" spans="1:14" x14ac:dyDescent="0.25">
      <c r="A9" s="3">
        <f t="shared" si="0"/>
        <v>44231</v>
      </c>
      <c r="B9" s="4">
        <f>WEEKDAY(A9)</f>
        <v>5</v>
      </c>
      <c r="C9" s="4" t="s">
        <v>8</v>
      </c>
      <c r="D9" t="s">
        <v>8</v>
      </c>
      <c r="E9" s="2">
        <f t="shared" si="1"/>
        <v>0.31944444444444448</v>
      </c>
      <c r="F9" s="2">
        <f t="shared" si="2"/>
        <v>0.5</v>
      </c>
      <c r="G9" s="2">
        <f t="shared" si="3"/>
        <v>0.54236111111111118</v>
      </c>
      <c r="H9" s="2">
        <f t="shared" si="4"/>
        <v>0.71875</v>
      </c>
      <c r="I9" s="2">
        <f>IF(D9="Sim",H9-E9,IF(B9=6,IF(E9&lt;EntradaServiço,EntradaServiço-Fevereiro!E9+IF(G9-F9&lt;tempo_de_almoço,tempo_de_almoço-(Fevereiro!G9-Fevereiro!F9)+IF(H9&gt;saída_sexta,H9-saída_sexta,zero),0+IF(H9&gt;saída_sexta,H9-saída_sexta,zero)), 0+IF(G9-F9&lt;tempo_de_almoço,tempo_de_almoço-(Fevereiro!G9-Fevereiro!F9)+IF(H9&gt;saída_sexta,H9-saída_sexta,zero),0+IF(H9&gt;saída_sexta,H9-saída_sexta,zero))),IF(E9&lt;EntradaServiço,EntradaServiço-Fevereiro!E9+IF(G9-F9&lt;tempo_de_almoço,tempo_de_almoço-(Fevereiro!G9-Fevereiro!F9)+IF(H9&gt;saída_normal,H9-saída_normal,zero),0+IF(H9&gt;saída_normal,H9-saída_normal,zero)), 0+IF(G9-F9&lt;tempo_de_almoço,tempo_de_almoço-(Fevereiro!G9-Fevereiro!F9)+IF(H9&gt;saída_normal,H9-saída_normal,zero),0+IF(H9&gt;saída_normal,H9-saída_normal,zero)))))</f>
        <v>3.4722222222222099E-3</v>
      </c>
      <c r="J9" s="2">
        <f>IF(D9="Sim",H9-E9,IF(B9=6,IF(E9&gt;EntradaServiço,(Fevereiro!E9-EntradaServiço)+IF(G9-F9&gt;tempo_de_almoço,(Fevereiro!G9-Fevereiro!F9)-tempo_de_almoço+IF(H9&lt;saída_sexta,saída_sexta-H9,zero),0+IF(H9&lt;saída_sexta,saída_sexta-H9,zero)), 0+IF(G9-F9&gt;tempo_de_almoço,(Fevereiro!G9-Fevereiro!F9)-tempo_de_almoço+IF(H9&lt;saída_sexta,saída_sexta-H9,zero),0+IF(H9&lt;saída_sexta,saída_sexta-H9,zero))),IF(E9&gt;EntradaServiço,(Fevereiro!E9-EntradaServiço)+IF(G9-F9&gt;tempo_de_almoço,(Fevereiro!G9-Fevereiro!F9)-tempo_de_almoço+IF(H9&lt;saída_normal,saída_normal-H9,zero),0+IF(H9&lt;saída_normal,saída_normal-H9,zero)), 0+IF(G9-F9&gt;tempo_de_almoço,(Fevereiro!G9-Fevereiro!F9)-tempo_de_almoço+IF(H9&lt;saída_normal,saída_normal-H9,zero),0+IF(H9&lt;saída_normal,saída_normal-H9,zero)))))</f>
        <v>1.4583333333333358E-2</v>
      </c>
    </row>
    <row r="10" spans="1:14" x14ac:dyDescent="0.25">
      <c r="A10" s="3">
        <f t="shared" si="0"/>
        <v>44232</v>
      </c>
      <c r="B10" s="4">
        <f>WEEKDAY(A10)</f>
        <v>6</v>
      </c>
      <c r="C10" s="4" t="s">
        <v>8</v>
      </c>
      <c r="D10" t="s">
        <v>8</v>
      </c>
      <c r="E10" s="2">
        <f t="shared" si="1"/>
        <v>0.31944444444444448</v>
      </c>
      <c r="F10" s="2">
        <f t="shared" si="2"/>
        <v>0.5</v>
      </c>
      <c r="G10" s="2">
        <f t="shared" si="3"/>
        <v>0.54236111111111118</v>
      </c>
      <c r="H10" s="2">
        <f t="shared" si="4"/>
        <v>0.71875</v>
      </c>
      <c r="I10" s="2">
        <f>IF(D10="Sim",H10-E10,IF(B10=6,IF(E10&lt;EntradaServiço,EntradaServiço-Fevereiro!E10+IF(G10-F10&lt;tempo_de_almoço,tempo_de_almoço-(Fevereiro!G10-Fevereiro!F10)+IF(H10&gt;saída_sexta,H10-saída_sexta,zero),0+IF(H10&gt;saída_sexta,H10-saída_sexta,zero)), 0+IF(G10-F10&lt;tempo_de_almoço,tempo_de_almoço-(Fevereiro!G10-Fevereiro!F10)+IF(H10&gt;saída_sexta,H10-saída_sexta,zero),0+IF(H10&gt;saída_sexta,H10-saída_sexta,zero))),IF(E10&lt;EntradaServiço,EntradaServiço-Fevereiro!E10+IF(G10-F10&lt;tempo_de_almoço,tempo_de_almoço-(Fevereiro!G10-Fevereiro!F10)+IF(H10&gt;saída_normal,H10-saída_normal,zero),0+IF(H10&gt;saída_normal,H10-saída_normal,zero)), 0+IF(G10-F10&lt;tempo_de_almoço,tempo_de_almoço-(Fevereiro!G10-Fevereiro!F10)+IF(H10&gt;saída_normal,H10-saída_normal,zero),0+IF(H10&gt;saída_normal,H10-saída_normal,zero)))))</f>
        <v>3.4722222222222099E-3</v>
      </c>
      <c r="J10" s="2">
        <f>IF(D10="Sim",H10-E10,IF(B10=6,IF(E10&gt;EntradaServiço,(Fevereiro!E10-EntradaServiço)+IF(G10-F10&gt;tempo_de_almoço,(Fevereiro!G10-Fevereiro!F10)-tempo_de_almoço+IF(H10&lt;saída_sexta,saída_sexta-H10,zero),0+IF(H10&lt;saída_sexta,saída_sexta-H10,zero)), 0+IF(G10-F10&gt;tempo_de_almoço,(Fevereiro!G10-Fevereiro!F10)-tempo_de_almoço+IF(H10&lt;saída_sexta,saída_sexta-H10,zero),0+IF(H10&lt;saída_sexta,saída_sexta-H10,zero))),IF(E10&gt;EntradaServiço,(Fevereiro!E10-EntradaServiço)+IF(G10-F10&gt;tempo_de_almoço,(Fevereiro!G10-Fevereiro!F10)-tempo_de_almoço+IF(H10&lt;saída_normal,saída_normal-H10,zero),0+IF(H10&lt;saída_normal,saída_normal-H10,zero)), 0+IF(G10-F10&gt;tempo_de_almoço,(Fevereiro!G10-Fevereiro!F10)-tempo_de_almoço+IF(H10&lt;saída_normal,saída_normal-H10,zero),0+IF(H10&lt;saída_normal,saída_normal-H10,zero)))))</f>
        <v>7.6388888888890491E-3</v>
      </c>
    </row>
    <row r="11" spans="1:14" x14ac:dyDescent="0.25">
      <c r="A11" s="3">
        <f t="shared" si="0"/>
        <v>44233</v>
      </c>
      <c r="B11" s="4">
        <f>WEEKDAY(A11)</f>
        <v>7</v>
      </c>
      <c r="C11" s="4" t="s">
        <v>8</v>
      </c>
      <c r="D11" t="s">
        <v>8</v>
      </c>
      <c r="E11" s="2">
        <f t="shared" si="1"/>
        <v>0.31944444444444448</v>
      </c>
      <c r="F11" s="2">
        <f t="shared" si="2"/>
        <v>0.5</v>
      </c>
      <c r="G11" s="2">
        <f t="shared" si="3"/>
        <v>0.54236111111111118</v>
      </c>
      <c r="H11" s="2">
        <f t="shared" si="4"/>
        <v>0.71875</v>
      </c>
      <c r="I11" s="2">
        <f>IF(D11="Sim",H11-E11,IF(B11=6,IF(E11&lt;EntradaServiço,EntradaServiço-Fevereiro!E11+IF(G11-F11&lt;tempo_de_almoço,tempo_de_almoço-(Fevereiro!G11-Fevereiro!F11)+IF(H11&gt;saída_sexta,H11-saída_sexta,zero),0+IF(H11&gt;saída_sexta,H11-saída_sexta,zero)), 0+IF(G11-F11&lt;tempo_de_almoço,tempo_de_almoço-(Fevereiro!G11-Fevereiro!F11)+IF(H11&gt;saída_sexta,H11-saída_sexta,zero),0+IF(H11&gt;saída_sexta,H11-saída_sexta,zero))),IF(E11&lt;EntradaServiço,EntradaServiço-Fevereiro!E11+IF(G11-F11&lt;tempo_de_almoço,tempo_de_almoço-(Fevereiro!G11-Fevereiro!F11)+IF(H11&gt;saída_normal,H11-saída_normal,zero),0+IF(H11&gt;saída_normal,H11-saída_normal,zero)), 0+IF(G11-F11&lt;tempo_de_almoço,tempo_de_almoço-(Fevereiro!G11-Fevereiro!F11)+IF(H11&gt;saída_normal,H11-saída_normal,zero),0+IF(H11&gt;saída_normal,H11-saída_normal,zero)))))</f>
        <v>3.4722222222222099E-3</v>
      </c>
      <c r="J11" s="2">
        <f>IF(D11="Sim",H11-E11,IF(B11=6,IF(E11&gt;EntradaServiço,(Fevereiro!E11-EntradaServiço)+IF(G11-F11&gt;tempo_de_almoço,(Fevereiro!G11-Fevereiro!F11)-tempo_de_almoço+IF(H11&lt;saída_sexta,saída_sexta-H11,zero),0+IF(H11&lt;saída_sexta,saída_sexta-H11,zero)), 0+IF(G11-F11&gt;tempo_de_almoço,(Fevereiro!G11-Fevereiro!F11)-tempo_de_almoço+IF(H11&lt;saída_sexta,saída_sexta-H11,zero),0+IF(H11&lt;saída_sexta,saída_sexta-H11,zero))),IF(E11&gt;EntradaServiço,(Fevereiro!E11-EntradaServiço)+IF(G11-F11&gt;tempo_de_almoço,(Fevereiro!G11-Fevereiro!F11)-tempo_de_almoço+IF(H11&lt;saída_normal,saída_normal-H11,zero),0+IF(H11&lt;saída_normal,saída_normal-H11,zero)), 0+IF(G11-F11&gt;tempo_de_almoço,(Fevereiro!G11-Fevereiro!F11)-tempo_de_almoço+IF(H11&lt;saída_normal,saída_normal-H11,zero),0+IF(H11&lt;saída_normal,saída_normal-H11,zero)))))</f>
        <v>1.4583333333333358E-2</v>
      </c>
    </row>
    <row r="12" spans="1:14" x14ac:dyDescent="0.25">
      <c r="A12" s="3">
        <f t="shared" si="0"/>
        <v>44234</v>
      </c>
      <c r="B12" s="4">
        <f>WEEKDAY(A12)</f>
        <v>1</v>
      </c>
      <c r="C12" s="4" t="s">
        <v>8</v>
      </c>
      <c r="D12" t="s">
        <v>8</v>
      </c>
      <c r="E12" s="2">
        <f t="shared" si="1"/>
        <v>0.31944444444444448</v>
      </c>
      <c r="F12" s="2">
        <f t="shared" si="2"/>
        <v>0.5</v>
      </c>
      <c r="G12" s="2">
        <f t="shared" si="3"/>
        <v>0.54236111111111118</v>
      </c>
      <c r="H12" s="2">
        <f t="shared" si="4"/>
        <v>0.71875</v>
      </c>
      <c r="I12" s="2">
        <f>IF(D12="Sim",H12-E12,IF(B12=6,IF(E12&lt;EntradaServiço,EntradaServiço-Fevereiro!E12+IF(G12-F12&lt;tempo_de_almoço,tempo_de_almoço-(Fevereiro!G12-Fevereiro!F12)+IF(H12&gt;saída_sexta,H12-saída_sexta,zero),0+IF(H12&gt;saída_sexta,H12-saída_sexta,zero)), 0+IF(G12-F12&lt;tempo_de_almoço,tempo_de_almoço-(Fevereiro!G12-Fevereiro!F12)+IF(H12&gt;saída_sexta,H12-saída_sexta,zero),0+IF(H12&gt;saída_sexta,H12-saída_sexta,zero))),IF(E12&lt;EntradaServiço,EntradaServiço-Fevereiro!E12+IF(G12-F12&lt;tempo_de_almoço,tempo_de_almoço-(Fevereiro!G12-Fevereiro!F12)+IF(H12&gt;saída_normal,H12-saída_normal,zero),0+IF(H12&gt;saída_normal,H12-saída_normal,zero)), 0+IF(G12-F12&lt;tempo_de_almoço,tempo_de_almoço-(Fevereiro!G12-Fevereiro!F12)+IF(H12&gt;saída_normal,H12-saída_normal,zero),0+IF(H12&gt;saída_normal,H12-saída_normal,zero)))))</f>
        <v>3.4722222222222099E-3</v>
      </c>
      <c r="J12" s="2">
        <f>IF(D12="Sim",H12-E12,IF(B12=6,IF(E12&gt;EntradaServiço,(Fevereiro!E12-EntradaServiço)+IF(G12-F12&gt;tempo_de_almoço,(Fevereiro!G12-Fevereiro!F12)-tempo_de_almoço+IF(H12&lt;saída_sexta,saída_sexta-H12,zero),0+IF(H12&lt;saída_sexta,saída_sexta-H12,zero)), 0+IF(G12-F12&gt;tempo_de_almoço,(Fevereiro!G12-Fevereiro!F12)-tempo_de_almoço+IF(H12&lt;saída_sexta,saída_sexta-H12,zero),0+IF(H12&lt;saída_sexta,saída_sexta-H12,zero))),IF(E12&gt;EntradaServiço,(Fevereiro!E12-EntradaServiço)+IF(G12-F12&gt;tempo_de_almoço,(Fevereiro!G12-Fevereiro!F12)-tempo_de_almoço+IF(H12&lt;saída_normal,saída_normal-H12,zero),0+IF(H12&lt;saída_normal,saída_normal-H12,zero)), 0+IF(G12-F12&gt;tempo_de_almoço,(Fevereiro!G12-Fevereiro!F12)-tempo_de_almoço+IF(H12&lt;saída_normal,saída_normal-H12,zero),0+IF(H12&lt;saída_normal,saída_normal-H12,zero)))))</f>
        <v>1.4583333333333358E-2</v>
      </c>
    </row>
    <row r="13" spans="1:14" x14ac:dyDescent="0.25">
      <c r="A13" s="3">
        <f t="shared" si="0"/>
        <v>44235</v>
      </c>
      <c r="B13" s="4">
        <f>WEEKDAY(A13)</f>
        <v>2</v>
      </c>
      <c r="C13" s="4" t="s">
        <v>8</v>
      </c>
      <c r="D13" t="s">
        <v>8</v>
      </c>
      <c r="E13" s="2">
        <f t="shared" si="1"/>
        <v>0.31944444444444448</v>
      </c>
      <c r="F13" s="2">
        <f t="shared" si="2"/>
        <v>0.5</v>
      </c>
      <c r="G13" s="2">
        <f t="shared" si="3"/>
        <v>0.54236111111111118</v>
      </c>
      <c r="H13" s="2">
        <f t="shared" si="4"/>
        <v>0.71875</v>
      </c>
      <c r="I13" s="2">
        <f>IF(D13="Sim",H13-E13,IF(B13=6,IF(E13&lt;EntradaServiço,EntradaServiço-Fevereiro!E13+IF(G13-F13&lt;tempo_de_almoço,tempo_de_almoço-(Fevereiro!G13-Fevereiro!F13)+IF(H13&gt;saída_sexta,H13-saída_sexta,zero),0+IF(H13&gt;saída_sexta,H13-saída_sexta,zero)), 0+IF(G13-F13&lt;tempo_de_almoço,tempo_de_almoço-(Fevereiro!G13-Fevereiro!F13)+IF(H13&gt;saída_sexta,H13-saída_sexta,zero),0+IF(H13&gt;saída_sexta,H13-saída_sexta,zero))),IF(E13&lt;EntradaServiço,EntradaServiço-Fevereiro!E13+IF(G13-F13&lt;tempo_de_almoço,tempo_de_almoço-(Fevereiro!G13-Fevereiro!F13)+IF(H13&gt;saída_normal,H13-saída_normal,zero),0+IF(H13&gt;saída_normal,H13-saída_normal,zero)), 0+IF(G13-F13&lt;tempo_de_almoço,tempo_de_almoço-(Fevereiro!G13-Fevereiro!F13)+IF(H13&gt;saída_normal,H13-saída_normal,zero),0+IF(H13&gt;saída_normal,H13-saída_normal,zero)))))</f>
        <v>3.4722222222222099E-3</v>
      </c>
      <c r="J13" s="2">
        <f>IF(D13="Sim",H13-E13,IF(B13=6,IF(E13&gt;EntradaServiço,(Fevereiro!E13-EntradaServiço)+IF(G13-F13&gt;tempo_de_almoço,(Fevereiro!G13-Fevereiro!F13)-tempo_de_almoço+IF(H13&lt;saída_sexta,saída_sexta-H13,zero),0+IF(H13&lt;saída_sexta,saída_sexta-H13,zero)), 0+IF(G13-F13&gt;tempo_de_almoço,(Fevereiro!G13-Fevereiro!F13)-tempo_de_almoço+IF(H13&lt;saída_sexta,saída_sexta-H13,zero),0+IF(H13&lt;saída_sexta,saída_sexta-H13,zero))),IF(E13&gt;EntradaServiço,(Fevereiro!E13-EntradaServiço)+IF(G13-F13&gt;tempo_de_almoço,(Fevereiro!G13-Fevereiro!F13)-tempo_de_almoço+IF(H13&lt;saída_normal,saída_normal-H13,zero),0+IF(H13&lt;saída_normal,saída_normal-H13,zero)), 0+IF(G13-F13&gt;tempo_de_almoço,(Fevereiro!G13-Fevereiro!F13)-tempo_de_almoço+IF(H13&lt;saída_normal,saída_normal-H13,zero),0+IF(H13&lt;saída_normal,saída_normal-H13,zero)))))</f>
        <v>1.4583333333333358E-2</v>
      </c>
    </row>
    <row r="14" spans="1:14" x14ac:dyDescent="0.25">
      <c r="A14" s="3">
        <f t="shared" si="0"/>
        <v>44236</v>
      </c>
      <c r="B14" s="4">
        <f>WEEKDAY(A14)</f>
        <v>3</v>
      </c>
      <c r="C14" s="4" t="s">
        <v>8</v>
      </c>
      <c r="D14" t="s">
        <v>8</v>
      </c>
      <c r="E14" s="2">
        <f t="shared" si="1"/>
        <v>0.31944444444444448</v>
      </c>
      <c r="F14" s="2">
        <f t="shared" si="2"/>
        <v>0.5</v>
      </c>
      <c r="G14" s="2">
        <f t="shared" si="3"/>
        <v>0.54236111111111118</v>
      </c>
      <c r="H14" s="2">
        <f t="shared" si="4"/>
        <v>0.71875</v>
      </c>
      <c r="I14" s="2">
        <f>IF(D14="Sim",H14-E14,IF(B14=6,IF(E14&lt;EntradaServiço,EntradaServiço-Fevereiro!E14+IF(G14-F14&lt;tempo_de_almoço,tempo_de_almoço-(Fevereiro!G14-Fevereiro!F14)+IF(H14&gt;saída_sexta,H14-saída_sexta,zero),0+IF(H14&gt;saída_sexta,H14-saída_sexta,zero)), 0+IF(G14-F14&lt;tempo_de_almoço,tempo_de_almoço-(Fevereiro!G14-Fevereiro!F14)+IF(H14&gt;saída_sexta,H14-saída_sexta,zero),0+IF(H14&gt;saída_sexta,H14-saída_sexta,zero))),IF(E14&lt;EntradaServiço,EntradaServiço-Fevereiro!E14+IF(G14-F14&lt;tempo_de_almoço,tempo_de_almoço-(Fevereiro!G14-Fevereiro!F14)+IF(H14&gt;saída_normal,H14-saída_normal,zero),0+IF(H14&gt;saída_normal,H14-saída_normal,zero)), 0+IF(G14-F14&lt;tempo_de_almoço,tempo_de_almoço-(Fevereiro!G14-Fevereiro!F14)+IF(H14&gt;saída_normal,H14-saída_normal,zero),0+IF(H14&gt;saída_normal,H14-saída_normal,zero)))))</f>
        <v>3.4722222222222099E-3</v>
      </c>
      <c r="J14" s="2">
        <f>IF(D14="Sim",H14-E14,IF(B14=6,IF(E14&gt;EntradaServiço,(Fevereiro!E14-EntradaServiço)+IF(G14-F14&gt;tempo_de_almoço,(Fevereiro!G14-Fevereiro!F14)-tempo_de_almoço+IF(H14&lt;saída_sexta,saída_sexta-H14,zero),0+IF(H14&lt;saída_sexta,saída_sexta-H14,zero)), 0+IF(G14-F14&gt;tempo_de_almoço,(Fevereiro!G14-Fevereiro!F14)-tempo_de_almoço+IF(H14&lt;saída_sexta,saída_sexta-H14,zero),0+IF(H14&lt;saída_sexta,saída_sexta-H14,zero))),IF(E14&gt;EntradaServiço,(Fevereiro!E14-EntradaServiço)+IF(G14-F14&gt;tempo_de_almoço,(Fevereiro!G14-Fevereiro!F14)-tempo_de_almoço+IF(H14&lt;saída_normal,saída_normal-H14,zero),0+IF(H14&lt;saída_normal,saída_normal-H14,zero)), 0+IF(G14-F14&gt;tempo_de_almoço,(Fevereiro!G14-Fevereiro!F14)-tempo_de_almoço+IF(H14&lt;saída_normal,saída_normal-H14,zero),0+IF(H14&lt;saída_normal,saída_normal-H14,zero)))))</f>
        <v>1.4583333333333358E-2</v>
      </c>
    </row>
    <row r="15" spans="1:14" x14ac:dyDescent="0.25">
      <c r="A15" s="3">
        <f t="shared" si="0"/>
        <v>44237</v>
      </c>
      <c r="B15" s="4">
        <f>WEEKDAY(A15)</f>
        <v>4</v>
      </c>
      <c r="C15" s="4" t="s">
        <v>8</v>
      </c>
      <c r="D15" t="s">
        <v>8</v>
      </c>
      <c r="E15" s="2">
        <f t="shared" si="1"/>
        <v>0.31944444444444448</v>
      </c>
      <c r="F15" s="2">
        <f t="shared" si="2"/>
        <v>0.5</v>
      </c>
      <c r="G15" s="2">
        <f t="shared" si="3"/>
        <v>0.54236111111111118</v>
      </c>
      <c r="H15" s="2">
        <f t="shared" si="4"/>
        <v>0.71875</v>
      </c>
      <c r="I15" s="2">
        <f>IF(D15="Sim",H15-E15,IF(B15=6,IF(E15&lt;EntradaServiço,EntradaServiço-Fevereiro!E15+IF(G15-F15&lt;tempo_de_almoço,tempo_de_almoço-(Fevereiro!G15-Fevereiro!F15)+IF(H15&gt;saída_sexta,H15-saída_sexta,zero),0+IF(H15&gt;saída_sexta,H15-saída_sexta,zero)), 0+IF(G15-F15&lt;tempo_de_almoço,tempo_de_almoço-(Fevereiro!G15-Fevereiro!F15)+IF(H15&gt;saída_sexta,H15-saída_sexta,zero),0+IF(H15&gt;saída_sexta,H15-saída_sexta,zero))),IF(E15&lt;EntradaServiço,EntradaServiço-Fevereiro!E15+IF(G15-F15&lt;tempo_de_almoço,tempo_de_almoço-(Fevereiro!G15-Fevereiro!F15)+IF(H15&gt;saída_normal,H15-saída_normal,zero),0+IF(H15&gt;saída_normal,H15-saída_normal,zero)), 0+IF(G15-F15&lt;tempo_de_almoço,tempo_de_almoço-(Fevereiro!G15-Fevereiro!F15)+IF(H15&gt;saída_normal,H15-saída_normal,zero),0+IF(H15&gt;saída_normal,H15-saída_normal,zero)))))</f>
        <v>3.4722222222222099E-3</v>
      </c>
      <c r="J15" s="2">
        <f>IF(D15="Sim",H15-E15,IF(B15=6,IF(E15&gt;EntradaServiço,(Fevereiro!E15-EntradaServiço)+IF(G15-F15&gt;tempo_de_almoço,(Fevereiro!G15-Fevereiro!F15)-tempo_de_almoço+IF(H15&lt;saída_sexta,saída_sexta-H15,zero),0+IF(H15&lt;saída_sexta,saída_sexta-H15,zero)), 0+IF(G15-F15&gt;tempo_de_almoço,(Fevereiro!G15-Fevereiro!F15)-tempo_de_almoço+IF(H15&lt;saída_sexta,saída_sexta-H15,zero),0+IF(H15&lt;saída_sexta,saída_sexta-H15,zero))),IF(E15&gt;EntradaServiço,(Fevereiro!E15-EntradaServiço)+IF(G15-F15&gt;tempo_de_almoço,(Fevereiro!G15-Fevereiro!F15)-tempo_de_almoço+IF(H15&lt;saída_normal,saída_normal-H15,zero),0+IF(H15&lt;saída_normal,saída_normal-H15,zero)), 0+IF(G15-F15&gt;tempo_de_almoço,(Fevereiro!G15-Fevereiro!F15)-tempo_de_almoço+IF(H15&lt;saída_normal,saída_normal-H15,zero),0+IF(H15&lt;saída_normal,saída_normal-H15,zero)))))</f>
        <v>1.4583333333333358E-2</v>
      </c>
    </row>
    <row r="16" spans="1:14" x14ac:dyDescent="0.25">
      <c r="A16" s="3">
        <f t="shared" si="0"/>
        <v>44238</v>
      </c>
      <c r="B16" s="4">
        <f>WEEKDAY(A16)</f>
        <v>5</v>
      </c>
      <c r="C16" s="4" t="s">
        <v>8</v>
      </c>
      <c r="D16" t="s">
        <v>8</v>
      </c>
      <c r="E16" s="2">
        <f t="shared" si="1"/>
        <v>0.31944444444444448</v>
      </c>
      <c r="F16" s="2">
        <f t="shared" si="2"/>
        <v>0.5</v>
      </c>
      <c r="G16" s="2">
        <f t="shared" si="3"/>
        <v>0.54236111111111118</v>
      </c>
      <c r="H16" s="2">
        <f t="shared" si="4"/>
        <v>0.71875</v>
      </c>
      <c r="I16" s="2">
        <f>IF(D16="Sim",H16-E16,IF(B16=6,IF(E16&lt;EntradaServiço,EntradaServiço-Fevereiro!E16+IF(G16-F16&lt;tempo_de_almoço,tempo_de_almoço-(Fevereiro!G16-Fevereiro!F16)+IF(H16&gt;saída_sexta,H16-saída_sexta,zero),0+IF(H16&gt;saída_sexta,H16-saída_sexta,zero)), 0+IF(G16-F16&lt;tempo_de_almoço,tempo_de_almoço-(Fevereiro!G16-Fevereiro!F16)+IF(H16&gt;saída_sexta,H16-saída_sexta,zero),0+IF(H16&gt;saída_sexta,H16-saída_sexta,zero))),IF(E16&lt;EntradaServiço,EntradaServiço-Fevereiro!E16+IF(G16-F16&lt;tempo_de_almoço,tempo_de_almoço-(Fevereiro!G16-Fevereiro!F16)+IF(H16&gt;saída_normal,H16-saída_normal,zero),0+IF(H16&gt;saída_normal,H16-saída_normal,zero)), 0+IF(G16-F16&lt;tempo_de_almoço,tempo_de_almoço-(Fevereiro!G16-Fevereiro!F16)+IF(H16&gt;saída_normal,H16-saída_normal,zero),0+IF(H16&gt;saída_normal,H16-saída_normal,zero)))))</f>
        <v>3.4722222222222099E-3</v>
      </c>
      <c r="J16" s="2">
        <f>IF(D16="Sim",H16-E16,IF(B16=6,IF(E16&gt;EntradaServiço,(Fevereiro!E16-EntradaServiço)+IF(G16-F16&gt;tempo_de_almoço,(Fevereiro!G16-Fevereiro!F16)-tempo_de_almoço+IF(H16&lt;saída_sexta,saída_sexta-H16,zero),0+IF(H16&lt;saída_sexta,saída_sexta-H16,zero)), 0+IF(G16-F16&gt;tempo_de_almoço,(Fevereiro!G16-Fevereiro!F16)-tempo_de_almoço+IF(H16&lt;saída_sexta,saída_sexta-H16,zero),0+IF(H16&lt;saída_sexta,saída_sexta-H16,zero))),IF(E16&gt;EntradaServiço,(Fevereiro!E16-EntradaServiço)+IF(G16-F16&gt;tempo_de_almoço,(Fevereiro!G16-Fevereiro!F16)-tempo_de_almoço+IF(H16&lt;saída_normal,saída_normal-H16,zero),0+IF(H16&lt;saída_normal,saída_normal-H16,zero)), 0+IF(G16-F16&gt;tempo_de_almoço,(Fevereiro!G16-Fevereiro!F16)-tempo_de_almoço+IF(H16&lt;saída_normal,saída_normal-H16,zero),0+IF(H16&lt;saída_normal,saída_normal-H16,zero)))))</f>
        <v>1.4583333333333358E-2</v>
      </c>
    </row>
    <row r="17" spans="1:10" x14ac:dyDescent="0.25">
      <c r="A17" s="3">
        <f t="shared" si="0"/>
        <v>44239</v>
      </c>
      <c r="B17" s="4">
        <f>WEEKDAY(A17)</f>
        <v>6</v>
      </c>
      <c r="C17" s="4" t="s">
        <v>8</v>
      </c>
      <c r="D17" t="s">
        <v>8</v>
      </c>
      <c r="E17" s="2">
        <f t="shared" si="1"/>
        <v>0.31944444444444448</v>
      </c>
      <c r="F17" s="2">
        <f t="shared" si="2"/>
        <v>0.5</v>
      </c>
      <c r="G17" s="2">
        <f t="shared" si="3"/>
        <v>0.54236111111111118</v>
      </c>
      <c r="H17" s="2">
        <f t="shared" si="4"/>
        <v>0.71875</v>
      </c>
      <c r="I17" s="2" cm="1">
        <f t="array" ref="I17">IF(D17="Sim",H17-E17,IF(B17=6,IF(E17&lt;EntradaServiço,EntradaServiço-Fevereiro!E17+IF(G17-F17&lt;tempo_de_almoço,tempo_de_almoço-(Fevereiro!G17-Fevereiro!F17)+IF(H17&gt;saída_sexta,H17-saída_sexta,zero),0+IF(H17&gt;saída_sexta,H17-saída_sexta,zero)), 0+IF(G17-F17&lt;tempo_de_almoço,tempo_de_almoço-(Fevereiro!G17-Fevereiro!F17)+IF(H17&gt;saída_sexta,H17-saída_sexta,zero),0+IF(H17&gt;saída_sexta,H17-saída_sexta,zero))),IF(E17&lt;EntradaServiço,EntradaServiço-Fevereiro!E17+IF(G17-F17&lt;tempo_de_almoço,tempo_de_almoço-(Fevereiro!G17-Fevereiro!F17)+IF(H17&gt;saída_normal,H17-saída_normal,zero),0+IF(H17&gt;saída_normal,H17-saída_normal,zero)), 0+IF(G17-F17&lt;tempo_de_almoço,tempo_de_almoço-(Fevereiro!G17-Fevereiro!F17)+IF(H17&gt;saída_normal,H17-saída_normal,zero),0+somaHorarioSaida(saída_sexta,Fevereiro!H1)))))</f>
        <v>3.4722222222222099E-3</v>
      </c>
      <c r="J17" s="2">
        <f>IF(D17="Sim",H17-E17,IF(B17=6,IF(E17&gt;EntradaServiço,(Fevereiro!E17-EntradaServiço)+IF(G17-F17&gt;tempo_de_almoço,(Fevereiro!G17-Fevereiro!F17)-tempo_de_almoço+IF(H17&lt;saída_sexta,saída_sexta-H17,zero),0+IF(H17&lt;saída_sexta,saída_sexta-H17,zero)), 0+IF(G17-F17&gt;tempo_de_almoço,(Fevereiro!G17-Fevereiro!F17)-tempo_de_almoço+IF(H17&lt;saída_sexta,saída_sexta-H17,zero),0+IF(H17&lt;saída_sexta,saída_sexta-H17,zero))),IF(E17&gt;EntradaServiço,(Fevereiro!E17-EntradaServiço)+IF(G17-F17&gt;tempo_de_almoço,(Fevereiro!G17-Fevereiro!F17)-tempo_de_almoço+IF(H17&lt;saída_normal,saída_normal-H17,zero),0+IF(H17&lt;saída_normal,saída_normal-H17,zero)), 0+IF(G17-F17&gt;tempo_de_almoço,(Fevereiro!G17-Fevereiro!F17)-tempo_de_almoço+IF(H17&lt;saída_normal,saída_normal-H17,zero),0+IF(H17&lt;saída_normal,saída_normal-H17,zero)))))</f>
        <v>7.6388888888890491E-3</v>
      </c>
    </row>
    <row r="18" spans="1:10" x14ac:dyDescent="0.25">
      <c r="A18" s="3">
        <f t="shared" si="0"/>
        <v>44240</v>
      </c>
      <c r="B18" s="4">
        <f>WEEKDAY(A18)</f>
        <v>7</v>
      </c>
      <c r="C18" s="4" t="s">
        <v>8</v>
      </c>
      <c r="D18" t="s">
        <v>8</v>
      </c>
      <c r="E18" s="2">
        <f t="shared" si="1"/>
        <v>0.31944444444444448</v>
      </c>
      <c r="F18" s="2">
        <f t="shared" si="2"/>
        <v>0.5</v>
      </c>
      <c r="G18" s="2">
        <f t="shared" si="3"/>
        <v>0.54236111111111118</v>
      </c>
      <c r="H18" s="2">
        <f t="shared" si="4"/>
        <v>0.71875</v>
      </c>
      <c r="I18" s="2">
        <f>IF(D18="Sim",H18-E18,IF(B18=6,IF(E18&lt;EntradaServiço,EntradaServiço-Fevereiro!E18+IF(G18-F18&lt;tempo_de_almoço,tempo_de_almoço-(Fevereiro!G18-Fevereiro!F18)+IF(H18&gt;saída_sexta,H18-saída_sexta,zero),0+IF(H18&gt;saída_sexta,H18-saída_sexta,zero)), 0+IF(G18-F18&lt;tempo_de_almoço,tempo_de_almoço-(Fevereiro!G18-Fevereiro!F18)+IF(H18&gt;saída_sexta,H18-saída_sexta,zero),0+IF(H18&gt;saída_sexta,H18-saída_sexta,zero))),IF(E18&lt;EntradaServiço,EntradaServiço-Fevereiro!E18+IF(G18-F18&lt;tempo_de_almoço,tempo_de_almoço-(Fevereiro!G18-Fevereiro!F18)+IF(H18&gt;saída_normal,H18-saída_normal,zero),0+IF(H18&gt;saída_normal,H18-saída_normal,zero)), 0+IF(G18-F18&lt;tempo_de_almoço,tempo_de_almoço-(Fevereiro!G18-Fevereiro!F18)+IF(H18&gt;saída_normal,H18-saída_normal,zero),0+IF(H18&gt;saída_normal,H18-saída_normal,zero)))))</f>
        <v>3.4722222222222099E-3</v>
      </c>
      <c r="J18" s="2">
        <f>IF(D18="Sim",H18-E18,IF(B18=6,IF(E18&gt;EntradaServiço,(Fevereiro!E18-EntradaServiço)+IF(G18-F18&gt;tempo_de_almoço,(Fevereiro!G18-Fevereiro!F18)-tempo_de_almoço+IF(H18&lt;saída_sexta,saída_sexta-H18,zero),0+IF(H18&lt;saída_sexta,saída_sexta-H18,zero)), 0+IF(G18-F18&gt;tempo_de_almoço,(Fevereiro!G18-Fevereiro!F18)-tempo_de_almoço+IF(H18&lt;saída_sexta,saída_sexta-H18,zero),0+IF(H18&lt;saída_sexta,saída_sexta-H18,zero))),IF(E18&gt;EntradaServiço,(Fevereiro!E18-EntradaServiço)+IF(G18-F18&gt;tempo_de_almoço,(Fevereiro!G18-Fevereiro!F18)-tempo_de_almoço+IF(H18&lt;saída_normal,saída_normal-H18,zero),0+IF(H18&lt;saída_normal,saída_normal-H18,zero)), 0+IF(G18-F18&gt;tempo_de_almoço,(Fevereiro!G18-Fevereiro!F18)-tempo_de_almoço+IF(H18&lt;saída_normal,saída_normal-H18,zero),0+IF(H18&lt;saída_normal,saída_normal-H18,zero)))))</f>
        <v>1.4583333333333358E-2</v>
      </c>
    </row>
    <row r="19" spans="1:10" x14ac:dyDescent="0.25">
      <c r="A19" s="3">
        <f t="shared" si="0"/>
        <v>44241</v>
      </c>
      <c r="B19" s="4">
        <f>WEEKDAY(A19)</f>
        <v>1</v>
      </c>
      <c r="C19" s="4" t="s">
        <v>8</v>
      </c>
      <c r="D19" t="s">
        <v>8</v>
      </c>
      <c r="E19" s="2">
        <f t="shared" si="1"/>
        <v>0.31944444444444448</v>
      </c>
      <c r="F19" s="2">
        <f t="shared" si="2"/>
        <v>0.5</v>
      </c>
      <c r="G19" s="2">
        <f t="shared" si="3"/>
        <v>0.54236111111111118</v>
      </c>
      <c r="H19" s="2">
        <f t="shared" si="4"/>
        <v>0.71875</v>
      </c>
      <c r="I19" s="2">
        <f>IF(D19="Sim",H19-E19,IF(B19=6,IF(E19&lt;EntradaServiço,EntradaServiço-Fevereiro!E19+IF(G19-F19&lt;tempo_de_almoço,tempo_de_almoço-(Fevereiro!G19-Fevereiro!F19)+IF(H19&gt;saída_sexta,H19-saída_sexta,zero),0+IF(H19&gt;saída_sexta,H19-saída_sexta,zero)), 0+IF(G19-F19&lt;tempo_de_almoço,tempo_de_almoço-(Fevereiro!G19-Fevereiro!F19)+IF(H19&gt;saída_sexta,H19-saída_sexta,zero),0+IF(H19&gt;saída_sexta,H19-saída_sexta,zero))),IF(E19&lt;EntradaServiço,EntradaServiço-Fevereiro!E19+IF(G19-F19&lt;tempo_de_almoço,tempo_de_almoço-(Fevereiro!G19-Fevereiro!F19)+IF(H19&gt;saída_normal,H19-saída_normal,zero),0+IF(H19&gt;saída_normal,H19-saída_normal,zero)), 0+IF(G19-F19&lt;tempo_de_almoço,tempo_de_almoço-(Fevereiro!G19-Fevereiro!F19)+IF(H19&gt;saída_normal,H19-saída_normal,zero),0+IF(H19&gt;saída_normal,H19-saída_normal,zero)))))</f>
        <v>3.4722222222222099E-3</v>
      </c>
      <c r="J19" s="2">
        <f>IF(D19="Sim",H19-E19,IF(B19=6,IF(E19&gt;EntradaServiço,(Fevereiro!E19-EntradaServiço)+IF(G19-F19&gt;tempo_de_almoço,(Fevereiro!G19-Fevereiro!F19)-tempo_de_almoço+IF(H19&lt;saída_sexta,saída_sexta-H19,zero),0+IF(H19&lt;saída_sexta,saída_sexta-H19,zero)), 0+IF(G19-F19&gt;tempo_de_almoço,(Fevereiro!G19-Fevereiro!F19)-tempo_de_almoço+IF(H19&lt;saída_sexta,saída_sexta-H19,zero),0+IF(H19&lt;saída_sexta,saída_sexta-H19,zero))),IF(E19&gt;EntradaServiço,(Fevereiro!E19-EntradaServiço)+IF(G19-F19&gt;tempo_de_almoço,(Fevereiro!G19-Fevereiro!F19)-tempo_de_almoço+IF(H19&lt;saída_normal,saída_normal-H19,zero),0+IF(H19&lt;saída_normal,saída_normal-H19,zero)), 0+IF(G19-F19&gt;tempo_de_almoço,(Fevereiro!G19-Fevereiro!F19)-tempo_de_almoço+IF(H19&lt;saída_normal,saída_normal-H19,zero),0+IF(H19&lt;saída_normal,saída_normal-H19,zero)))))</f>
        <v>1.4583333333333358E-2</v>
      </c>
    </row>
    <row r="20" spans="1:10" x14ac:dyDescent="0.25">
      <c r="A20" s="3">
        <f t="shared" si="0"/>
        <v>44242</v>
      </c>
      <c r="B20" s="4">
        <f>WEEKDAY(A20)</f>
        <v>2</v>
      </c>
      <c r="C20" s="4" t="s">
        <v>8</v>
      </c>
      <c r="D20" t="s">
        <v>8</v>
      </c>
      <c r="E20" s="2">
        <f t="shared" si="1"/>
        <v>0.31944444444444448</v>
      </c>
      <c r="F20" s="2">
        <f t="shared" si="2"/>
        <v>0.5</v>
      </c>
      <c r="G20" s="2">
        <f t="shared" si="3"/>
        <v>0.54236111111111118</v>
      </c>
      <c r="H20" s="2">
        <f t="shared" si="4"/>
        <v>0.71875</v>
      </c>
      <c r="I20" s="2">
        <f>IF(D20="Sim",H20-E20,IF(B20=6,IF(E20&lt;EntradaServiço,EntradaServiço-Fevereiro!E20+IF(G20-F20&lt;tempo_de_almoço,tempo_de_almoço-(Fevereiro!G20-Fevereiro!F20)+IF(H20&gt;saída_sexta,H20-saída_sexta,zero),0+IF(H20&gt;saída_sexta,H20-saída_sexta,zero)), 0+IF(G20-F20&lt;tempo_de_almoço,tempo_de_almoço-(Fevereiro!G20-Fevereiro!F20)+IF(H20&gt;saída_sexta,H20-saída_sexta,zero),0+IF(H20&gt;saída_sexta,H20-saída_sexta,zero))),IF(E20&lt;EntradaServiço,EntradaServiço-Fevereiro!E20+IF(G20-F20&lt;tempo_de_almoço,tempo_de_almoço-(Fevereiro!G20-Fevereiro!F20)+IF(H20&gt;saída_normal,H20-saída_normal,zero),0+IF(H20&gt;saída_normal,H20-saída_normal,zero)), 0+IF(G20-F20&lt;tempo_de_almoço,tempo_de_almoço-(Fevereiro!G20-Fevereiro!F20)+IF(H20&gt;saída_normal,H20-saída_normal,zero),0+IF(H20&gt;saída_normal,H20-saída_normal,zero)))))</f>
        <v>3.4722222222222099E-3</v>
      </c>
      <c r="J20" s="2">
        <f>IF(D20="Sim",H20-E20,IF(B20=6,IF(E20&gt;EntradaServiço,(Fevereiro!E20-EntradaServiço)+IF(G20-F20&gt;tempo_de_almoço,(Fevereiro!G20-Fevereiro!F20)-tempo_de_almoço+IF(H20&lt;saída_sexta,saída_sexta-H20,zero),0+IF(H20&lt;saída_sexta,saída_sexta-H20,zero)), 0+IF(G20-F20&gt;tempo_de_almoço,(Fevereiro!G20-Fevereiro!F20)-tempo_de_almoço+IF(H20&lt;saída_sexta,saída_sexta-H20,zero),0+IF(H20&lt;saída_sexta,saída_sexta-H20,zero))),IF(E20&gt;EntradaServiço,(Fevereiro!E20-EntradaServiço)+IF(G20-F20&gt;tempo_de_almoço,(Fevereiro!G20-Fevereiro!F20)-tempo_de_almoço+IF(H20&lt;saída_normal,saída_normal-H20,zero),0+IF(H20&lt;saída_normal,saída_normal-H20,zero)), 0+IF(G20-F20&gt;tempo_de_almoço,(Fevereiro!G20-Fevereiro!F20)-tempo_de_almoço+IF(H20&lt;saída_normal,saída_normal-H20,zero),0+IF(H20&lt;saída_normal,saída_normal-H20,zero)))))</f>
        <v>1.4583333333333358E-2</v>
      </c>
    </row>
    <row r="21" spans="1:10" x14ac:dyDescent="0.25">
      <c r="A21" s="3">
        <f t="shared" si="0"/>
        <v>44243</v>
      </c>
      <c r="B21" s="4">
        <f>WEEKDAY(A21)</f>
        <v>3</v>
      </c>
      <c r="C21" s="4" t="s">
        <v>8</v>
      </c>
      <c r="D21" t="s">
        <v>8</v>
      </c>
      <c r="E21" s="2">
        <f t="shared" si="1"/>
        <v>0.31944444444444448</v>
      </c>
      <c r="F21" s="2">
        <f t="shared" si="2"/>
        <v>0.5</v>
      </c>
      <c r="G21" s="2">
        <f t="shared" si="3"/>
        <v>0.54236111111111118</v>
      </c>
      <c r="H21" s="2">
        <f t="shared" si="4"/>
        <v>0.71875</v>
      </c>
      <c r="I21" s="2">
        <f>IF(D21="Sim",H21-E21,IF(B21=6,IF(E21&lt;EntradaServiço,EntradaServiço-Fevereiro!E21+IF(G21-F21&lt;tempo_de_almoço,tempo_de_almoço-(Fevereiro!G21-Fevereiro!F21)+IF(H21&gt;saída_sexta,H21-saída_sexta,zero),0+IF(H21&gt;saída_sexta,H21-saída_sexta,zero)), 0+IF(G21-F21&lt;tempo_de_almoço,tempo_de_almoço-(Fevereiro!G21-Fevereiro!F21)+IF(H21&gt;saída_sexta,H21-saída_sexta,zero),0+IF(H21&gt;saída_sexta,H21-saída_sexta,zero))),IF(E21&lt;EntradaServiço,EntradaServiço-Fevereiro!E21+IF(G21-F21&lt;tempo_de_almoço,tempo_de_almoço-(Fevereiro!G21-Fevereiro!F21)+IF(H21&gt;saída_normal,H21-saída_normal,zero),0+IF(H21&gt;saída_normal,H21-saída_normal,zero)), 0+IF(G21-F21&lt;tempo_de_almoço,tempo_de_almoço-(Fevereiro!G21-Fevereiro!F21)+IF(H21&gt;saída_normal,H21-saída_normal,zero),0+IF(H21&gt;saída_normal,H21-saída_normal,zero)))))</f>
        <v>3.4722222222222099E-3</v>
      </c>
      <c r="J21" s="2">
        <f>IF(D21="Sim",H21-E21,IF(B21=6,IF(E21&gt;EntradaServiço,(Fevereiro!E21-EntradaServiço)+IF(G21-F21&gt;tempo_de_almoço,(Fevereiro!G21-Fevereiro!F21)-tempo_de_almoço+IF(H21&lt;saída_sexta,saída_sexta-H21,zero),0+IF(H21&lt;saída_sexta,saída_sexta-H21,zero)), 0+IF(G21-F21&gt;tempo_de_almoço,(Fevereiro!G21-Fevereiro!F21)-tempo_de_almoço+IF(H21&lt;saída_sexta,saída_sexta-H21,zero),0+IF(H21&lt;saída_sexta,saída_sexta-H21,zero))),IF(E21&gt;EntradaServiço,(Fevereiro!E21-EntradaServiço)+IF(G21-F21&gt;tempo_de_almoço,(Fevereiro!G21-Fevereiro!F21)-tempo_de_almoço+IF(H21&lt;saída_normal,saída_normal-H21,zero),0+IF(H21&lt;saída_normal,saída_normal-H21,zero)), 0+IF(G21-F21&gt;tempo_de_almoço,(Fevereiro!G21-Fevereiro!F21)-tempo_de_almoço+IF(H21&lt;saída_normal,saída_normal-H21,zero),0+IF(H21&lt;saída_normal,saída_normal-H21,zero)))))</f>
        <v>1.4583333333333358E-2</v>
      </c>
    </row>
    <row r="22" spans="1:10" x14ac:dyDescent="0.25">
      <c r="A22" s="3">
        <f t="shared" si="0"/>
        <v>44244</v>
      </c>
      <c r="B22" s="4">
        <f>WEEKDAY(A22)</f>
        <v>4</v>
      </c>
      <c r="C22" s="4" t="s">
        <v>8</v>
      </c>
      <c r="D22" t="s">
        <v>8</v>
      </c>
      <c r="E22" s="2">
        <f t="shared" si="1"/>
        <v>0.31944444444444448</v>
      </c>
      <c r="F22" s="2">
        <f t="shared" si="2"/>
        <v>0.5</v>
      </c>
      <c r="G22" s="2">
        <f t="shared" si="3"/>
        <v>0.54236111111111118</v>
      </c>
      <c r="H22" s="2">
        <f t="shared" si="4"/>
        <v>0.71875</v>
      </c>
      <c r="I22" s="2">
        <f>IF(D22="Sim",H22-E22,IF(B22=6,IF(E22&lt;EntradaServiço,EntradaServiço-Fevereiro!E22+IF(G22-F22&lt;tempo_de_almoço,tempo_de_almoço-(Fevereiro!G22-Fevereiro!F22)+IF(H22&gt;saída_sexta,H22-saída_sexta,zero),0+IF(H22&gt;saída_sexta,H22-saída_sexta,zero)), 0+IF(G22-F22&lt;tempo_de_almoço,tempo_de_almoço-(Fevereiro!G22-Fevereiro!F22)+IF(H22&gt;saída_sexta,H22-saída_sexta,zero),0+IF(H22&gt;saída_sexta,H22-saída_sexta,zero))),IF(E22&lt;EntradaServiço,EntradaServiço-Fevereiro!E22+IF(G22-F22&lt;tempo_de_almoço,tempo_de_almoço-(Fevereiro!G22-Fevereiro!F22)+IF(H22&gt;saída_normal,H22-saída_normal,zero),0+IF(H22&gt;saída_normal,H22-saída_normal,zero)), 0+IF(G22-F22&lt;tempo_de_almoço,tempo_de_almoço-(Fevereiro!G22-Fevereiro!F22)+IF(H22&gt;saída_normal,H22-saída_normal,zero),0+IF(H22&gt;saída_normal,H22-saída_normal,zero)))))</f>
        <v>3.4722222222222099E-3</v>
      </c>
      <c r="J22" s="2">
        <f>IF(D22="Sim",H22-E22,IF(B22=6,IF(E22&gt;EntradaServiço,(Fevereiro!E22-EntradaServiço)+IF(G22-F22&gt;tempo_de_almoço,(Fevereiro!G22-Fevereiro!F22)-tempo_de_almoço+IF(H22&lt;saída_sexta,saída_sexta-H22,zero),0+IF(H22&lt;saída_sexta,saída_sexta-H22,zero)), 0+IF(G22-F22&gt;tempo_de_almoço,(Fevereiro!G22-Fevereiro!F22)-tempo_de_almoço+IF(H22&lt;saída_sexta,saída_sexta-H22,zero),0+IF(H22&lt;saída_sexta,saída_sexta-H22,zero))),IF(E22&gt;EntradaServiço,(Fevereiro!E22-EntradaServiço)+IF(G22-F22&gt;tempo_de_almoço,(Fevereiro!G22-Fevereiro!F22)-tempo_de_almoço+IF(H22&lt;saída_normal,saída_normal-H22,zero),0+IF(H22&lt;saída_normal,saída_normal-H22,zero)), 0+IF(G22-F22&gt;tempo_de_almoço,(Fevereiro!G22-Fevereiro!F22)-tempo_de_almoço+IF(H22&lt;saída_normal,saída_normal-H22,zero),0+IF(H22&lt;saída_normal,saída_normal-H22,zero)))))</f>
        <v>1.4583333333333358E-2</v>
      </c>
    </row>
    <row r="23" spans="1:10" x14ac:dyDescent="0.25">
      <c r="A23" s="3">
        <f t="shared" si="0"/>
        <v>44245</v>
      </c>
      <c r="B23" s="4">
        <f>WEEKDAY(A23)</f>
        <v>5</v>
      </c>
      <c r="C23" s="4" t="s">
        <v>8</v>
      </c>
      <c r="D23" t="s">
        <v>8</v>
      </c>
      <c r="E23" s="2">
        <f t="shared" si="1"/>
        <v>0.31944444444444448</v>
      </c>
      <c r="F23" s="2">
        <f t="shared" si="2"/>
        <v>0.5</v>
      </c>
      <c r="G23" s="2">
        <f t="shared" si="3"/>
        <v>0.54236111111111118</v>
      </c>
      <c r="H23" s="2">
        <f t="shared" si="4"/>
        <v>0.71875</v>
      </c>
      <c r="I23" s="2">
        <f>IF(D23="Sim",H23-E23,IF(B23=6,IF(E23&lt;EntradaServiço,EntradaServiço-Fevereiro!E23+IF(G23-F23&lt;tempo_de_almoço,tempo_de_almoço-(Fevereiro!G23-Fevereiro!F23)+IF(H23&gt;saída_sexta,H23-saída_sexta,zero),0+IF(H23&gt;saída_sexta,H23-saída_sexta,zero)), 0+IF(G23-F23&lt;tempo_de_almoço,tempo_de_almoço-(Fevereiro!G23-Fevereiro!F23)+IF(H23&gt;saída_sexta,H23-saída_sexta,zero),0+IF(H23&gt;saída_sexta,H23-saída_sexta,zero))),IF(E23&lt;EntradaServiço,EntradaServiço-Fevereiro!E23+IF(G23-F23&lt;tempo_de_almoço,tempo_de_almoço-(Fevereiro!G23-Fevereiro!F23)+IF(H23&gt;saída_normal,H23-saída_normal,zero),0+IF(H23&gt;saída_normal,H23-saída_normal,zero)), 0+IF(G23-F23&lt;tempo_de_almoço,tempo_de_almoço-(Fevereiro!G23-Fevereiro!F23)+IF(H23&gt;saída_normal,H23-saída_normal,zero),0+IF(H23&gt;saída_normal,H23-saída_normal,zero)))))</f>
        <v>3.4722222222222099E-3</v>
      </c>
      <c r="J23" s="2">
        <f>IF(D23="Sim",H23-E23,IF(B23=6,IF(E23&gt;EntradaServiço,(Fevereiro!E23-EntradaServiço)+IF(G23-F23&gt;tempo_de_almoço,(Fevereiro!G23-Fevereiro!F23)-tempo_de_almoço+IF(H23&lt;saída_sexta,saída_sexta-H23,zero),0+IF(H23&lt;saída_sexta,saída_sexta-H23,zero)), 0+IF(G23-F23&gt;tempo_de_almoço,(Fevereiro!G23-Fevereiro!F23)-tempo_de_almoço+IF(H23&lt;saída_sexta,saída_sexta-H23,zero),0+IF(H23&lt;saída_sexta,saída_sexta-H23,zero))),IF(E23&gt;EntradaServiço,(Fevereiro!E23-EntradaServiço)+IF(G23-F23&gt;tempo_de_almoço,(Fevereiro!G23-Fevereiro!F23)-tempo_de_almoço+IF(H23&lt;saída_normal,saída_normal-H23,zero),0+IF(H23&lt;saída_normal,saída_normal-H23,zero)), 0+IF(G23-F23&gt;tempo_de_almoço,(Fevereiro!G23-Fevereiro!F23)-tempo_de_almoço+IF(H23&lt;saída_normal,saída_normal-H23,zero),0+IF(H23&lt;saída_normal,saída_normal-H23,zero)))))</f>
        <v>1.4583333333333358E-2</v>
      </c>
    </row>
    <row r="24" spans="1:10" x14ac:dyDescent="0.25">
      <c r="A24" s="3">
        <f t="shared" si="0"/>
        <v>44246</v>
      </c>
      <c r="B24" s="4">
        <f>WEEKDAY(A24)</f>
        <v>6</v>
      </c>
      <c r="C24" s="4" t="s">
        <v>8</v>
      </c>
      <c r="D24" t="s">
        <v>8</v>
      </c>
      <c r="E24" s="2">
        <f t="shared" si="1"/>
        <v>0.31944444444444448</v>
      </c>
      <c r="F24" s="2">
        <f t="shared" si="2"/>
        <v>0.5</v>
      </c>
      <c r="G24" s="2">
        <f t="shared" si="3"/>
        <v>0.54236111111111118</v>
      </c>
      <c r="H24" s="2">
        <f t="shared" si="4"/>
        <v>0.71875</v>
      </c>
      <c r="I24" s="2">
        <f>IF(D24="Sim",H24-E24,IF(B24=6,IF(E24&lt;EntradaServiço,EntradaServiço-Fevereiro!E24+IF(G24-F24&lt;tempo_de_almoço,tempo_de_almoço-(Fevereiro!G24-Fevereiro!F24)+IF(H24&gt;saída_sexta,H24-saída_sexta,zero),0+IF(H24&gt;saída_sexta,H24-saída_sexta,zero)), 0+IF(G24-F24&lt;tempo_de_almoço,tempo_de_almoço-(Fevereiro!G24-Fevereiro!F24)+IF(H24&gt;saída_sexta,H24-saída_sexta,zero),0+IF(H24&gt;saída_sexta,H24-saída_sexta,zero))),IF(E24&lt;EntradaServiço,EntradaServiço-Fevereiro!E24+IF(G24-F24&lt;tempo_de_almoço,tempo_de_almoço-(Fevereiro!G24-Fevereiro!F24)+IF(H24&gt;saída_normal,H24-saída_normal,zero),0+IF(H24&gt;saída_normal,H24-saída_normal,zero)), 0+IF(G24-F24&lt;tempo_de_almoço,tempo_de_almoço-(Fevereiro!G24-Fevereiro!F24)+IF(H24&gt;saída_normal,H24-saída_normal,zero),0+IF(H24&gt;saída_normal,H24-saída_normal,zero)))))</f>
        <v>3.4722222222222099E-3</v>
      </c>
      <c r="J24" s="2">
        <f>IF(D24="Sim",H24-E24,IF(B24=6,IF(E24&gt;EntradaServiço,(Fevereiro!E24-EntradaServiço)+IF(G24-F24&gt;tempo_de_almoço,(Fevereiro!G24-Fevereiro!F24)-tempo_de_almoço+IF(H24&lt;saída_sexta,saída_sexta-H24,zero),0+IF(H24&lt;saída_sexta,saída_sexta-H24,zero)), 0+IF(G24-F24&gt;tempo_de_almoço,(Fevereiro!G24-Fevereiro!F24)-tempo_de_almoço+IF(H24&lt;saída_sexta,saída_sexta-H24,zero),0+IF(H24&lt;saída_sexta,saída_sexta-H24,zero))),IF(E24&gt;EntradaServiço,(Fevereiro!E24-EntradaServiço)+IF(G24-F24&gt;tempo_de_almoço,(Fevereiro!G24-Fevereiro!F24)-tempo_de_almoço+IF(H24&lt;saída_normal,saída_normal-H24,zero),0+IF(H24&lt;saída_normal,saída_normal-H24,zero)), 0+IF(G24-F24&gt;tempo_de_almoço,(Fevereiro!G24-Fevereiro!F24)-tempo_de_almoço+IF(H24&lt;saída_normal,saída_normal-H24,zero),0+IF(H24&lt;saída_normal,saída_normal-H24,zero)))))</f>
        <v>7.6388888888890491E-3</v>
      </c>
    </row>
    <row r="25" spans="1:10" x14ac:dyDescent="0.25">
      <c r="A25" s="3">
        <f t="shared" si="0"/>
        <v>44247</v>
      </c>
      <c r="B25" s="4">
        <f>WEEKDAY(A25)</f>
        <v>7</v>
      </c>
      <c r="C25" s="4" t="s">
        <v>8</v>
      </c>
      <c r="D25" t="s">
        <v>8</v>
      </c>
      <c r="E25" s="2">
        <f t="shared" si="1"/>
        <v>0.31944444444444448</v>
      </c>
      <c r="F25" s="2">
        <f t="shared" si="2"/>
        <v>0.5</v>
      </c>
      <c r="G25" s="2">
        <f t="shared" si="3"/>
        <v>0.54236111111111118</v>
      </c>
      <c r="H25" s="2">
        <f t="shared" si="4"/>
        <v>0.71875</v>
      </c>
      <c r="I25" s="2">
        <f>IF(D25="Sim",H25-E25,IF(B25=6,IF(E25&lt;EntradaServiço,EntradaServiço-Fevereiro!E25+IF(G25-F25&lt;tempo_de_almoço,tempo_de_almoço-(Fevereiro!G25-Fevereiro!F25)+IF(H25&gt;saída_sexta,H25-saída_sexta,zero),0+IF(H25&gt;saída_sexta,H25-saída_sexta,zero)), 0+IF(G25-F25&lt;tempo_de_almoço,tempo_de_almoço-(Fevereiro!G25-Fevereiro!F25)+IF(H25&gt;saída_sexta,H25-saída_sexta,zero),0+IF(H25&gt;saída_sexta,H25-saída_sexta,zero))),IF(E25&lt;EntradaServiço,EntradaServiço-Fevereiro!E25+IF(G25-F25&lt;tempo_de_almoço,tempo_de_almoço-(Fevereiro!G25-Fevereiro!F25)+IF(H25&gt;saída_normal,H25-saída_normal,zero),0+IF(H25&gt;saída_normal,H25-saída_normal,zero)), 0+IF(G25-F25&lt;tempo_de_almoço,tempo_de_almoço-(Fevereiro!G25-Fevereiro!F25)+IF(H25&gt;saída_normal,H25-saída_normal,zero),0+IF(H25&gt;saída_normal,H25-saída_normal,zero)))))</f>
        <v>3.4722222222222099E-3</v>
      </c>
      <c r="J25" s="2">
        <f>IF(D25="Sim",H25-E25,IF(B25=6,IF(E25&gt;EntradaServiço,(Fevereiro!E25-EntradaServiço)+IF(G25-F25&gt;tempo_de_almoço,(Fevereiro!G25-Fevereiro!F25)-tempo_de_almoço+IF(H25&lt;saída_sexta,saída_sexta-H25,zero),0+IF(H25&lt;saída_sexta,saída_sexta-H25,zero)), 0+IF(G25-F25&gt;tempo_de_almoço,(Fevereiro!G25-Fevereiro!F25)-tempo_de_almoço+IF(H25&lt;saída_sexta,saída_sexta-H25,zero),0+IF(H25&lt;saída_sexta,saída_sexta-H25,zero))),IF(E25&gt;EntradaServiço,(Fevereiro!E25-EntradaServiço)+IF(G25-F25&gt;tempo_de_almoço,(Fevereiro!G25-Fevereiro!F25)-tempo_de_almoço+IF(H25&lt;saída_normal,saída_normal-H25,zero),0+IF(H25&lt;saída_normal,saída_normal-H25,zero)), 0+IF(G25-F25&gt;tempo_de_almoço,(Fevereiro!G25-Fevereiro!F25)-tempo_de_almoço+IF(H25&lt;saída_normal,saída_normal-H25,zero),0+IF(H25&lt;saída_normal,saída_normal-H25,zero)))))</f>
        <v>1.4583333333333358E-2</v>
      </c>
    </row>
    <row r="26" spans="1:10" x14ac:dyDescent="0.25">
      <c r="A26" s="3">
        <f t="shared" si="0"/>
        <v>44248</v>
      </c>
      <c r="B26" s="4">
        <f>WEEKDAY(A26)</f>
        <v>1</v>
      </c>
      <c r="C26" s="4" t="s">
        <v>8</v>
      </c>
      <c r="D26" t="s">
        <v>8</v>
      </c>
      <c r="E26" s="2">
        <f t="shared" si="1"/>
        <v>0.31944444444444448</v>
      </c>
      <c r="F26" s="2">
        <f t="shared" si="2"/>
        <v>0.5</v>
      </c>
      <c r="G26" s="2">
        <f t="shared" si="3"/>
        <v>0.54236111111111118</v>
      </c>
      <c r="H26" s="2">
        <f t="shared" si="4"/>
        <v>0.71875</v>
      </c>
      <c r="I26" s="2">
        <f>IF(D26="Sim",H26-E26,IF(B26=6,IF(E26&lt;EntradaServiço,EntradaServiço-Fevereiro!E26+IF(G26-F26&lt;tempo_de_almoço,tempo_de_almoço-(Fevereiro!G26-Fevereiro!F26)+IF(H26&gt;saída_sexta,H26-saída_sexta,zero),0+IF(H26&gt;saída_sexta,H26-saída_sexta,zero)), 0+IF(G26-F26&lt;tempo_de_almoço,tempo_de_almoço-(Fevereiro!G26-Fevereiro!F26)+IF(H26&gt;saída_sexta,H26-saída_sexta,zero),0+IF(H26&gt;saída_sexta,H26-saída_sexta,zero))),IF(E26&lt;EntradaServiço,EntradaServiço-Fevereiro!E26+IF(G26-F26&lt;tempo_de_almoço,tempo_de_almoço-(Fevereiro!G26-Fevereiro!F26)+IF(H26&gt;saída_normal,H26-saída_normal,zero),0+IF(H26&gt;saída_normal,H26-saída_normal,zero)), 0+IF(G26-F26&lt;tempo_de_almoço,tempo_de_almoço-(Fevereiro!G26-Fevereiro!F26)+IF(H26&gt;saída_normal,H26-saída_normal,zero),0+IF(H26&gt;saída_normal,H26-saída_normal,zero)))))</f>
        <v>3.4722222222222099E-3</v>
      </c>
      <c r="J26" s="2">
        <f>IF(D26="Sim",H26-E26,IF(B26=6,IF(E26&gt;EntradaServiço,(Fevereiro!E26-EntradaServiço)+IF(G26-F26&gt;tempo_de_almoço,(Fevereiro!G26-Fevereiro!F26)-tempo_de_almoço+IF(H26&lt;saída_sexta,saída_sexta-H26,zero),0+IF(H26&lt;saída_sexta,saída_sexta-H26,zero)), 0+IF(G26-F26&gt;tempo_de_almoço,(Fevereiro!G26-Fevereiro!F26)-tempo_de_almoço+IF(H26&lt;saída_sexta,saída_sexta-H26,zero),0+IF(H26&lt;saída_sexta,saída_sexta-H26,zero))),IF(E26&gt;EntradaServiço,(Fevereiro!E26-EntradaServiço)+IF(G26-F26&gt;tempo_de_almoço,(Fevereiro!G26-Fevereiro!F26)-tempo_de_almoço+IF(H26&lt;saída_normal,saída_normal-H26,zero),0+IF(H26&lt;saída_normal,saída_normal-H26,zero)), 0+IF(G26-F26&gt;tempo_de_almoço,(Fevereiro!G26-Fevereiro!F26)-tempo_de_almoço+IF(H26&lt;saída_normal,saída_normal-H26,zero),0+IF(H26&lt;saída_normal,saída_normal-H26,zero)))))</f>
        <v>1.4583333333333358E-2</v>
      </c>
    </row>
    <row r="27" spans="1:10" x14ac:dyDescent="0.25">
      <c r="A27" s="3">
        <f t="shared" si="0"/>
        <v>44249</v>
      </c>
      <c r="B27" s="4">
        <f>WEEKDAY(A27)</f>
        <v>2</v>
      </c>
      <c r="C27" s="4" t="s">
        <v>8</v>
      </c>
      <c r="D27" t="s">
        <v>8</v>
      </c>
      <c r="E27" s="2">
        <f t="shared" si="1"/>
        <v>0.31944444444444448</v>
      </c>
      <c r="F27" s="2">
        <f t="shared" si="2"/>
        <v>0.5</v>
      </c>
      <c r="G27" s="2">
        <f t="shared" si="3"/>
        <v>0.54236111111111118</v>
      </c>
      <c r="H27" s="2">
        <f t="shared" si="4"/>
        <v>0.71875</v>
      </c>
      <c r="I27" s="2">
        <f>IF(D27="Sim",H27-E27,IF(B27=6,IF(E27&lt;EntradaServiço,EntradaServiço-Fevereiro!E27+IF(G27-F27&lt;tempo_de_almoço,tempo_de_almoço-(Fevereiro!G27-Fevereiro!F27)+IF(H27&gt;saída_sexta,H27-saída_sexta,zero),0+IF(H27&gt;saída_sexta,H27-saída_sexta,zero)), 0+IF(G27-F27&lt;tempo_de_almoço,tempo_de_almoço-(Fevereiro!G27-Fevereiro!F27)+IF(H27&gt;saída_sexta,H27-saída_sexta,zero),0+IF(H27&gt;saída_sexta,H27-saída_sexta,zero))),IF(E27&lt;EntradaServiço,EntradaServiço-Fevereiro!E27+IF(G27-F27&lt;tempo_de_almoço,tempo_de_almoço-(Fevereiro!G27-Fevereiro!F27)+IF(H27&gt;saída_normal,H27-saída_normal,zero),0+IF(H27&gt;saída_normal,H27-saída_normal,zero)), 0+IF(G27-F27&lt;tempo_de_almoço,tempo_de_almoço-(Fevereiro!G27-Fevereiro!F27)+IF(H27&gt;saída_normal,H27-saída_normal,zero),0+IF(H27&gt;saída_normal,H27-saída_normal,zero)))))</f>
        <v>3.4722222222222099E-3</v>
      </c>
      <c r="J27" s="2">
        <f>IF(D27="Sim",H27-E27,IF(B27=6,IF(E27&gt;EntradaServiço,(Fevereiro!E27-EntradaServiço)+IF(G27-F27&gt;tempo_de_almoço,(Fevereiro!G27-Fevereiro!F27)-tempo_de_almoço+IF(H27&lt;saída_sexta,saída_sexta-H27,zero),0+IF(H27&lt;saída_sexta,saída_sexta-H27,zero)), 0+IF(G27-F27&gt;tempo_de_almoço,(Fevereiro!G27-Fevereiro!F27)-tempo_de_almoço+IF(H27&lt;saída_sexta,saída_sexta-H27,zero),0+IF(H27&lt;saída_sexta,saída_sexta-H27,zero))),IF(E27&gt;EntradaServiço,(Fevereiro!E27-EntradaServiço)+IF(G27-F27&gt;tempo_de_almoço,(Fevereiro!G27-Fevereiro!F27)-tempo_de_almoço+IF(H27&lt;saída_normal,saída_normal-H27,zero),0+IF(H27&lt;saída_normal,saída_normal-H27,zero)), 0+IF(G27-F27&gt;tempo_de_almoço,(Fevereiro!G27-Fevereiro!F27)-tempo_de_almoço+IF(H27&lt;saída_normal,saída_normal-H27,zero),0+IF(H27&lt;saída_normal,saída_normal-H27,zero)))))</f>
        <v>1.4583333333333358E-2</v>
      </c>
    </row>
    <row r="28" spans="1:10" x14ac:dyDescent="0.25">
      <c r="A28" s="3">
        <f t="shared" si="0"/>
        <v>44250</v>
      </c>
      <c r="B28" s="4">
        <f>WEEKDAY(A28)</f>
        <v>3</v>
      </c>
      <c r="C28" s="4" t="s">
        <v>8</v>
      </c>
      <c r="D28" t="s">
        <v>8</v>
      </c>
      <c r="E28" s="2">
        <f t="shared" si="1"/>
        <v>0.31944444444444448</v>
      </c>
      <c r="F28" s="2">
        <f t="shared" si="2"/>
        <v>0.5</v>
      </c>
      <c r="G28" s="2">
        <f t="shared" si="3"/>
        <v>0.54236111111111118</v>
      </c>
      <c r="H28" s="2">
        <f t="shared" si="4"/>
        <v>0.71875</v>
      </c>
      <c r="I28" s="2">
        <f>IF(D28="Sim",H28-E28,IF(B28=6,IF(E28&lt;EntradaServiço,EntradaServiço-Fevereiro!E28+IF(G28-F28&lt;tempo_de_almoço,tempo_de_almoço-(Fevereiro!G28-Fevereiro!F28)+IF(H28&gt;saída_sexta,H28-saída_sexta,zero),0+IF(H28&gt;saída_sexta,H28-saída_sexta,zero)), 0+IF(G28-F28&lt;tempo_de_almoço,tempo_de_almoço-(Fevereiro!G28-Fevereiro!F28)+IF(H28&gt;saída_sexta,H28-saída_sexta,zero),0+IF(H28&gt;saída_sexta,H28-saída_sexta,zero))),IF(E28&lt;EntradaServiço,EntradaServiço-Fevereiro!E28+IF(G28-F28&lt;tempo_de_almoço,tempo_de_almoço-(Fevereiro!G28-Fevereiro!F28)+IF(H28&gt;saída_normal,H28-saída_normal,zero),0+IF(H28&gt;saída_normal,H28-saída_normal,zero)), 0+IF(G28-F28&lt;tempo_de_almoço,tempo_de_almoço-(Fevereiro!G28-Fevereiro!F28)+IF(H28&gt;saída_normal,H28-saída_normal,zero),0+IF(H28&gt;saída_normal,H28-saída_normal,zero)))))</f>
        <v>3.4722222222222099E-3</v>
      </c>
      <c r="J28" s="2">
        <f>IF(D28="Sim",H28-E28,IF(B28=6,IF(E28&gt;EntradaServiço,(Fevereiro!E28-EntradaServiço)+IF(G28-F28&gt;tempo_de_almoço,(Fevereiro!G28-Fevereiro!F28)-tempo_de_almoço+IF(H28&lt;saída_sexta,saída_sexta-H28,zero),0+IF(H28&lt;saída_sexta,saída_sexta-H28,zero)), 0+IF(G28-F28&gt;tempo_de_almoço,(Fevereiro!G28-Fevereiro!F28)-tempo_de_almoço+IF(H28&lt;saída_sexta,saída_sexta-H28,zero),0+IF(H28&lt;saída_sexta,saída_sexta-H28,zero))),IF(E28&gt;EntradaServiço,(Fevereiro!E28-EntradaServiço)+IF(G28-F28&gt;tempo_de_almoço,(Fevereiro!G28-Fevereiro!F28)-tempo_de_almoço+IF(H28&lt;saída_normal,saída_normal-H28,zero),0+IF(H28&lt;saída_normal,saída_normal-H28,zero)), 0+IF(G28-F28&gt;tempo_de_almoço,(Fevereiro!G28-Fevereiro!F28)-tempo_de_almoço+IF(H28&lt;saída_normal,saída_normal-H28,zero),0+IF(H28&lt;saída_normal,saída_normal-H28,zero)))))</f>
        <v>1.4583333333333358E-2</v>
      </c>
    </row>
    <row r="29" spans="1:10" x14ac:dyDescent="0.25">
      <c r="A29" s="3">
        <f t="shared" si="0"/>
        <v>44251</v>
      </c>
      <c r="B29" s="4">
        <f>WEEKDAY(A29)</f>
        <v>4</v>
      </c>
      <c r="C29" s="4" t="s">
        <v>8</v>
      </c>
      <c r="D29" t="s">
        <v>8</v>
      </c>
      <c r="E29" s="2">
        <f t="shared" si="1"/>
        <v>0.31944444444444448</v>
      </c>
      <c r="F29" s="2">
        <f t="shared" si="2"/>
        <v>0.5</v>
      </c>
      <c r="G29" s="2">
        <f t="shared" si="3"/>
        <v>0.54236111111111118</v>
      </c>
      <c r="H29" s="2">
        <f t="shared" si="4"/>
        <v>0.71875</v>
      </c>
      <c r="I29" s="2">
        <f>IF(D29="Sim",H29-E29,IF(B29=6,IF(E29&lt;EntradaServiço,EntradaServiço-Fevereiro!E29+IF(G29-F29&lt;tempo_de_almoço,tempo_de_almoço-(Fevereiro!G29-Fevereiro!F29)+IF(H29&gt;saída_sexta,H29-saída_sexta,zero),0+IF(H29&gt;saída_sexta,H29-saída_sexta,zero)), 0+IF(G29-F29&lt;tempo_de_almoço,tempo_de_almoço-(Fevereiro!G29-Fevereiro!F29)+IF(H29&gt;saída_sexta,H29-saída_sexta,zero),0+IF(H29&gt;saída_sexta,H29-saída_sexta,zero))),IF(E29&lt;EntradaServiço,EntradaServiço-Fevereiro!E29+IF(G29-F29&lt;tempo_de_almoço,tempo_de_almoço-(Fevereiro!G29-Fevereiro!F29)+IF(H29&gt;saída_normal,H29-saída_normal,zero),0+IF(H29&gt;saída_normal,H29-saída_normal,zero)), 0+IF(G29-F29&lt;tempo_de_almoço,tempo_de_almoço-(Fevereiro!G29-Fevereiro!F29)+IF(H29&gt;saída_normal,H29-saída_normal,zero),0+IF(H29&gt;saída_normal,H29-saída_normal,zero)))))</f>
        <v>3.4722222222222099E-3</v>
      </c>
      <c r="J29" s="2">
        <f>IF(D29="Sim",H29-E29,IF(B29=6,IF(E29&gt;EntradaServiço,(Fevereiro!E29-EntradaServiço)+IF(G29-F29&gt;tempo_de_almoço,(Fevereiro!G29-Fevereiro!F29)-tempo_de_almoço+IF(H29&lt;saída_sexta,saída_sexta-H29,zero),0+IF(H29&lt;saída_sexta,saída_sexta-H29,zero)), 0+IF(G29-F29&gt;tempo_de_almoço,(Fevereiro!G29-Fevereiro!F29)-tempo_de_almoço+IF(H29&lt;saída_sexta,saída_sexta-H29,zero),0+IF(H29&lt;saída_sexta,saída_sexta-H29,zero))),IF(E29&gt;EntradaServiço,(Fevereiro!E29-EntradaServiço)+IF(G29-F29&gt;tempo_de_almoço,(Fevereiro!G29-Fevereiro!F29)-tempo_de_almoço+IF(H29&lt;saída_normal,saída_normal-H29,zero),0+IF(H29&lt;saída_normal,saída_normal-H29,zero)), 0+IF(G29-F29&gt;tempo_de_almoço,(Fevereiro!G29-Fevereiro!F29)-tempo_de_almoço+IF(H29&lt;saída_normal,saída_normal-H29,zero),0+IF(H29&lt;saída_normal,saída_normal-H29,zero)))))</f>
        <v>1.4583333333333358E-2</v>
      </c>
    </row>
    <row r="30" spans="1:10" x14ac:dyDescent="0.25">
      <c r="A30" s="3">
        <f t="shared" si="0"/>
        <v>44252</v>
      </c>
      <c r="B30" s="4">
        <f>WEEKDAY(A30)</f>
        <v>5</v>
      </c>
      <c r="C30" s="4" t="s">
        <v>8</v>
      </c>
      <c r="D30" t="s">
        <v>8</v>
      </c>
      <c r="E30" s="2">
        <f t="shared" si="1"/>
        <v>0.31944444444444448</v>
      </c>
      <c r="F30" s="2">
        <f t="shared" si="2"/>
        <v>0.5</v>
      </c>
      <c r="G30" s="2">
        <f t="shared" si="3"/>
        <v>0.54236111111111118</v>
      </c>
      <c r="H30" s="2">
        <f t="shared" si="4"/>
        <v>0.71875</v>
      </c>
      <c r="I30" s="2">
        <f>IF(D30="Sim",H30-E30,IF(B30=6,IF(E30&lt;EntradaServiço,EntradaServiço-Fevereiro!E30+IF(G30-F30&lt;tempo_de_almoço,tempo_de_almoço-(Fevereiro!G30-Fevereiro!F30)+IF(H30&gt;saída_sexta,H30-saída_sexta,zero),0+IF(H30&gt;saída_sexta,H30-saída_sexta,zero)), 0+IF(G30-F30&lt;tempo_de_almoço,tempo_de_almoço-(Fevereiro!G30-Fevereiro!F30)+IF(H30&gt;saída_sexta,H30-saída_sexta,zero),0+IF(H30&gt;saída_sexta,H30-saída_sexta,zero))),IF(E30&lt;EntradaServiço,EntradaServiço-Fevereiro!E30+IF(G30-F30&lt;tempo_de_almoço,tempo_de_almoço-(Fevereiro!G30-Fevereiro!F30)+IF(H30&gt;saída_normal,H30-saída_normal,zero),0+IF(H30&gt;saída_normal,H30-saída_normal,zero)), 0+IF(G30-F30&lt;tempo_de_almoço,tempo_de_almoço-(Fevereiro!G30-Fevereiro!F30)+IF(H30&gt;saída_normal,H30-saída_normal,zero),0+IF(H30&gt;saída_normal,H30-saída_normal,zero)))))</f>
        <v>3.4722222222222099E-3</v>
      </c>
      <c r="J30" s="2">
        <f>IF(D30="Sim",H30-E30,IF(B30=6,IF(E30&gt;EntradaServiço,(Fevereiro!E30-EntradaServiço)+IF(G30-F30&gt;tempo_de_almoço,(Fevereiro!G30-Fevereiro!F30)-tempo_de_almoço+IF(H30&lt;saída_sexta,saída_sexta-H30,zero),0+IF(H30&lt;saída_sexta,saída_sexta-H30,zero)), 0+IF(G30-F30&gt;tempo_de_almoço,(Fevereiro!G30-Fevereiro!F30)-tempo_de_almoço+IF(H30&lt;saída_sexta,saída_sexta-H30,zero),0+IF(H30&lt;saída_sexta,saída_sexta-H30,zero))),IF(E30&gt;EntradaServiço,(Fevereiro!E30-EntradaServiço)+IF(G30-F30&gt;tempo_de_almoço,(Fevereiro!G30-Fevereiro!F30)-tempo_de_almoço+IF(H30&lt;saída_normal,saída_normal-H30,zero),0+IF(H30&lt;saída_normal,saída_normal-H30,zero)), 0+IF(G30-F30&gt;tempo_de_almoço,(Fevereiro!G30-Fevereiro!F30)-tempo_de_almoço+IF(H30&lt;saída_normal,saída_normal-H30,zero),0+IF(H30&lt;saída_normal,saída_normal-H30,zero)))))</f>
        <v>1.4583333333333358E-2</v>
      </c>
    </row>
    <row r="31" spans="1:10" x14ac:dyDescent="0.25">
      <c r="A31" s="3">
        <f t="shared" si="0"/>
        <v>44253</v>
      </c>
      <c r="B31" s="4">
        <f>WEEKDAY(A31)</f>
        <v>6</v>
      </c>
      <c r="C31" s="4" t="s">
        <v>8</v>
      </c>
      <c r="D31" t="s">
        <v>8</v>
      </c>
      <c r="E31" s="2">
        <f t="shared" si="1"/>
        <v>0.31944444444444448</v>
      </c>
      <c r="F31" s="2">
        <f t="shared" si="2"/>
        <v>0.5</v>
      </c>
      <c r="G31" s="2">
        <f t="shared" si="3"/>
        <v>0.54236111111111118</v>
      </c>
      <c r="H31" s="2">
        <f t="shared" si="4"/>
        <v>0.71875</v>
      </c>
      <c r="I31" s="2">
        <f>IF(D31="Sim",H31-E31,IF(B31=6,IF(E31&lt;EntradaServiço,EntradaServiço-Fevereiro!E31+IF(G31-F31&lt;tempo_de_almoço,tempo_de_almoço-(Fevereiro!G31-Fevereiro!F31)+IF(H31&gt;saída_sexta,H31-saída_sexta,zero),0+IF(H31&gt;saída_sexta,H31-saída_sexta,zero)), 0+IF(G31-F31&lt;tempo_de_almoço,tempo_de_almoço-(Fevereiro!G31-Fevereiro!F31)+IF(H31&gt;saída_sexta,H31-saída_sexta,zero),0+IF(H31&gt;saída_sexta,H31-saída_sexta,zero))),IF(E31&lt;EntradaServiço,EntradaServiço-Fevereiro!E31+IF(G31-F31&lt;tempo_de_almoço,tempo_de_almoço-(Fevereiro!G31-Fevereiro!F31)+IF(H31&gt;saída_normal,H31-saída_normal,zero),0+IF(H31&gt;saída_normal,H31-saída_normal,zero)), 0+IF(G31-F31&lt;tempo_de_almoço,tempo_de_almoço-(Fevereiro!G31-Fevereiro!F31)+IF(H31&gt;saída_normal,H31-saída_normal,zero),0+IF(H31&gt;saída_normal,H31-saída_normal,zero)))))</f>
        <v>3.4722222222222099E-3</v>
      </c>
      <c r="J31" s="2">
        <f>IF(D31="Sim",H31-E31,IF(B31=6,IF(E31&gt;EntradaServiço,(Fevereiro!E31-EntradaServiço)+IF(G31-F31&gt;tempo_de_almoço,(Fevereiro!G31-Fevereiro!F31)-tempo_de_almoço+IF(H31&lt;saída_sexta,saída_sexta-H31,zero),0+IF(H31&lt;saída_sexta,saída_sexta-H31,zero)), 0+IF(G31-F31&gt;tempo_de_almoço,(Fevereiro!G31-Fevereiro!F31)-tempo_de_almoço+IF(H31&lt;saída_sexta,saída_sexta-H31,zero),0+IF(H31&lt;saída_sexta,saída_sexta-H31,zero))),IF(E31&gt;EntradaServiço,(Fevereiro!E31-EntradaServiço)+IF(G31-F31&gt;tempo_de_almoço,(Fevereiro!G31-Fevereiro!F31)-tempo_de_almoço+IF(H31&lt;saída_normal,saída_normal-H31,zero),0+IF(H31&lt;saída_normal,saída_normal-H31,zero)), 0+IF(G31-F31&gt;tempo_de_almoço,(Fevereiro!G31-Fevereiro!F31)-tempo_de_almoço+IF(H31&lt;saída_normal,saída_normal-H31,zero),0+IF(H31&lt;saída_normal,saída_normal-H31,zero)))))</f>
        <v>7.6388888888890491E-3</v>
      </c>
    </row>
    <row r="32" spans="1:10" x14ac:dyDescent="0.25">
      <c r="A32" s="3">
        <f t="shared" si="0"/>
        <v>44254</v>
      </c>
      <c r="B32" s="4">
        <f>WEEKDAY(A32)</f>
        <v>7</v>
      </c>
      <c r="C32" s="4" t="s">
        <v>8</v>
      </c>
      <c r="D32" t="s">
        <v>8</v>
      </c>
      <c r="E32" s="2">
        <f t="shared" si="1"/>
        <v>0.31944444444444448</v>
      </c>
      <c r="F32" s="2">
        <f t="shared" si="2"/>
        <v>0.5</v>
      </c>
      <c r="G32" s="2">
        <f t="shared" si="3"/>
        <v>0.54236111111111118</v>
      </c>
      <c r="H32" s="2">
        <f t="shared" si="4"/>
        <v>0.71875</v>
      </c>
      <c r="I32" s="2">
        <f>IF(D32="Sim",H32-E32,IF(B32=6,IF(E32&lt;EntradaServiço,EntradaServiço-Fevereiro!E32+IF(G32-F32&lt;tempo_de_almoço,tempo_de_almoço-(Fevereiro!G32-Fevereiro!F32)+IF(H32&gt;saída_sexta,H32-saída_sexta,zero),0+IF(H32&gt;saída_sexta,H32-saída_sexta,zero)), 0+IF(G32-F32&lt;tempo_de_almoço,tempo_de_almoço-(Fevereiro!G32-Fevereiro!F32)+IF(H32&gt;saída_sexta,H32-saída_sexta,zero),0+IF(H32&gt;saída_sexta,H32-saída_sexta,zero))),IF(E32&lt;EntradaServiço,EntradaServiço-Fevereiro!E32+IF(G32-F32&lt;tempo_de_almoço,tempo_de_almoço-(Fevereiro!G32-Fevereiro!F32)+IF(H32&gt;saída_normal,H32-saída_normal,zero),0+IF(H32&gt;saída_normal,H32-saída_normal,zero)), 0+IF(G32-F32&lt;tempo_de_almoço,tempo_de_almoço-(Fevereiro!G32-Fevereiro!F32)+IF(H32&gt;saída_normal,H32-saída_normal,zero),0+IF(H32&gt;saída_normal,H32-saída_normal,zero)))))</f>
        <v>3.4722222222222099E-3</v>
      </c>
      <c r="J32" s="2">
        <f>IF(D32="Sim",H32-E32,IF(B32=6,IF(E32&gt;EntradaServiço,(Fevereiro!E32-EntradaServiço)+IF(G32-F32&gt;tempo_de_almoço,(Fevereiro!G32-Fevereiro!F32)-tempo_de_almoço+IF(H32&lt;saída_sexta,saída_sexta-H32,zero),0+IF(H32&lt;saída_sexta,saída_sexta-H32,zero)), 0+IF(G32-F32&gt;tempo_de_almoço,(Fevereiro!G32-Fevereiro!F32)-tempo_de_almoço+IF(H32&lt;saída_sexta,saída_sexta-H32,zero),0+IF(H32&lt;saída_sexta,saída_sexta-H32,zero))),IF(E32&gt;EntradaServiço,(Fevereiro!E32-EntradaServiço)+IF(G32-F32&gt;tempo_de_almoço,(Fevereiro!G32-Fevereiro!F32)-tempo_de_almoço+IF(H32&lt;saída_normal,saída_normal-H32,zero),0+IF(H32&lt;saída_normal,saída_normal-H32,zero)), 0+IF(G32-F32&gt;tempo_de_almoço,(Fevereiro!G32-Fevereiro!F32)-tempo_de_almoço+IF(H32&lt;saída_normal,saída_normal-H32,zero),0+IF(H32&lt;saída_normal,saída_normal-H32,zero)))))</f>
        <v>1.4583333333333358E-2</v>
      </c>
    </row>
    <row r="33" spans="1:10" x14ac:dyDescent="0.25">
      <c r="A33" s="3">
        <f t="shared" si="0"/>
        <v>44255</v>
      </c>
      <c r="B33" s="4">
        <f>WEEKDAY(A33)</f>
        <v>1</v>
      </c>
      <c r="C33" s="4" t="s">
        <v>8</v>
      </c>
      <c r="D33" t="s">
        <v>8</v>
      </c>
      <c r="E33" s="2">
        <f t="shared" si="1"/>
        <v>0.31944444444444448</v>
      </c>
      <c r="F33" s="2">
        <f t="shared" si="2"/>
        <v>0.5</v>
      </c>
      <c r="G33" s="2">
        <f t="shared" si="3"/>
        <v>0.54236111111111118</v>
      </c>
      <c r="H33" s="2">
        <f t="shared" si="4"/>
        <v>0.71875</v>
      </c>
      <c r="I33" s="2">
        <f>IF(D33="Sim",H33-E33,IF(B33=6,IF(E33&lt;EntradaServiço,EntradaServiço-Fevereiro!E33+IF(G33-F33&lt;tempo_de_almoço,tempo_de_almoço-(Fevereiro!G33-Fevereiro!F33)+IF(H33&gt;saída_sexta,H33-saída_sexta,zero),0+IF(H33&gt;saída_sexta,H33-saída_sexta,zero)), 0+IF(G33-F33&lt;tempo_de_almoço,tempo_de_almoço-(Fevereiro!G33-Fevereiro!F33)+IF(H33&gt;saída_sexta,H33-saída_sexta,zero),0+IF(H33&gt;saída_sexta,H33-saída_sexta,zero))),IF(E33&lt;EntradaServiço,EntradaServiço-Fevereiro!E33+IF(G33-F33&lt;tempo_de_almoço,tempo_de_almoço-(Fevereiro!G33-Fevereiro!F33)+IF(H33&gt;saída_normal,H33-saída_normal,zero),0+IF(H33&gt;saída_normal,H33-saída_normal,zero)), 0+IF(G33-F33&lt;tempo_de_almoço,tempo_de_almoço-(Fevereiro!G33-Fevereiro!F33)+IF(H33&gt;saída_normal,H33-saída_normal,zero),0+IF(H33&gt;saída_normal,H33-saída_normal,zero)))))</f>
        <v>3.4722222222222099E-3</v>
      </c>
      <c r="J33" s="2">
        <f>IF(D33="Sim",H33-E33,IF(B33=6,IF(E33&gt;EntradaServiço,(Fevereiro!E33-EntradaServiço)+IF(G33-F33&gt;tempo_de_almoço,(Fevereiro!G33-Fevereiro!F33)-tempo_de_almoço+IF(H33&lt;saída_sexta,saída_sexta-H33,zero),0+IF(H33&lt;saída_sexta,saída_sexta-H33,zero)), 0+IF(G33-F33&gt;tempo_de_almoço,(Fevereiro!G33-Fevereiro!F33)-tempo_de_almoço+IF(H33&lt;saída_sexta,saída_sexta-H33,zero),0+IF(H33&lt;saída_sexta,saída_sexta-H33,zero))),IF(E33&gt;EntradaServiço,(Fevereiro!E33-EntradaServiço)+IF(G33-F33&gt;tempo_de_almoço,(Fevereiro!G33-Fevereiro!F33)-tempo_de_almoço+IF(H33&lt;saída_normal,saída_normal-H33,zero),0+IF(H33&lt;saída_normal,saída_normal-H33,zero)), 0+IF(G33-F33&gt;tempo_de_almoço,(Fevereiro!G33-Fevereiro!F33)-tempo_de_almoço+IF(H33&lt;saída_normal,saída_normal-H33,zero),0+IF(H33&lt;saída_normal,saída_normal-H33,zero)))))</f>
        <v>1.4583333333333358E-2</v>
      </c>
    </row>
    <row r="34" spans="1:10" x14ac:dyDescent="0.25">
      <c r="A34" s="3"/>
      <c r="B34" s="3"/>
      <c r="C34" s="3"/>
      <c r="I34" s="2"/>
      <c r="J34" s="2"/>
    </row>
    <row r="35" spans="1:10" x14ac:dyDescent="0.25">
      <c r="A35" s="3"/>
      <c r="B35" s="3"/>
      <c r="C35" s="3"/>
      <c r="I35" s="2"/>
      <c r="J35" s="2"/>
    </row>
    <row r="36" spans="1:10" x14ac:dyDescent="0.25">
      <c r="A36" s="3"/>
      <c r="B36" s="3"/>
      <c r="C36" s="3"/>
      <c r="I36" s="2"/>
      <c r="J36" s="2"/>
    </row>
    <row r="37" spans="1:10" x14ac:dyDescent="0.25">
      <c r="A37" s="3"/>
      <c r="B37" s="3"/>
      <c r="C37" s="3"/>
      <c r="I37" s="2"/>
      <c r="J37" s="2"/>
    </row>
    <row r="38" spans="1:10" x14ac:dyDescent="0.25">
      <c r="A38" s="3"/>
      <c r="B38" s="3"/>
      <c r="C38" s="3"/>
    </row>
    <row r="39" spans="1:10" x14ac:dyDescent="0.25">
      <c r="A39" s="3"/>
      <c r="B39" s="3"/>
      <c r="C39" s="3"/>
    </row>
    <row r="40" spans="1:10" x14ac:dyDescent="0.25">
      <c r="A40" s="3"/>
      <c r="B40" s="3"/>
      <c r="C40" s="3"/>
    </row>
    <row r="41" spans="1:10" x14ac:dyDescent="0.25">
      <c r="A41" s="3"/>
      <c r="B41" s="3"/>
      <c r="C41" s="3"/>
    </row>
    <row r="42" spans="1:10" x14ac:dyDescent="0.25">
      <c r="A42" s="3"/>
      <c r="B42" s="3"/>
      <c r="C42" s="3"/>
    </row>
  </sheetData>
  <mergeCells count="1">
    <mergeCell ref="G1:N1"/>
  </mergeCells>
  <dataValidations count="1">
    <dataValidation type="list" allowBlank="1" showInputMessage="1" showErrorMessage="1" sqref="C6:D33" xr:uid="{344D016A-1A4D-472C-B3B1-0192AC821D25}">
      <formula1>opçôesFeriado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508DA-EACF-4657-AD9F-967CE990F473}">
  <sheetPr codeName="Planilha2"/>
  <dimension ref="A1:O15"/>
  <sheetViews>
    <sheetView workbookViewId="0">
      <selection activeCell="H13" sqref="H13"/>
    </sheetView>
  </sheetViews>
  <sheetFormatPr defaultRowHeight="15" x14ac:dyDescent="0.25"/>
  <cols>
    <col min="1" max="1" width="18.42578125" customWidth="1"/>
    <col min="6" max="6" width="9.140625" customWidth="1"/>
    <col min="10" max="10" width="19.140625" customWidth="1"/>
  </cols>
  <sheetData>
    <row r="1" spans="1:15" x14ac:dyDescent="0.25">
      <c r="G1" s="5" t="s">
        <v>1</v>
      </c>
      <c r="H1" s="5"/>
      <c r="I1" s="5"/>
      <c r="J1" s="5"/>
      <c r="K1" s="5"/>
      <c r="L1" s="5"/>
      <c r="M1" s="5"/>
      <c r="N1" s="5"/>
      <c r="O1" s="5"/>
    </row>
    <row r="3" spans="1:15" x14ac:dyDescent="0.25">
      <c r="A3" t="s">
        <v>6</v>
      </c>
      <c r="C3" s="5"/>
      <c r="D3" s="5"/>
    </row>
    <row r="4" spans="1:15" x14ac:dyDescent="0.25">
      <c r="A4" t="s">
        <v>7</v>
      </c>
      <c r="C4" s="1"/>
      <c r="D4" s="1"/>
    </row>
    <row r="5" spans="1:15" x14ac:dyDescent="0.25">
      <c r="A5" t="s">
        <v>8</v>
      </c>
      <c r="C5" s="2"/>
      <c r="D5" s="2"/>
    </row>
    <row r="10" spans="1:15" x14ac:dyDescent="0.25">
      <c r="B10" s="5" t="s">
        <v>19</v>
      </c>
      <c r="C10" s="5"/>
      <c r="D10" s="5"/>
    </row>
    <row r="11" spans="1:15" x14ac:dyDescent="0.25">
      <c r="A11" t="s">
        <v>20</v>
      </c>
      <c r="B11" s="6">
        <v>0</v>
      </c>
      <c r="C11" s="5"/>
      <c r="D11" s="5"/>
    </row>
    <row r="12" spans="1:15" x14ac:dyDescent="0.25">
      <c r="A12" t="s">
        <v>14</v>
      </c>
      <c r="B12" s="6">
        <v>0.32291666666666669</v>
      </c>
      <c r="C12" s="5"/>
      <c r="D12" s="5"/>
    </row>
    <row r="13" spans="1:15" x14ac:dyDescent="0.25">
      <c r="A13" t="s">
        <v>15</v>
      </c>
      <c r="B13" s="6">
        <v>0.72569444444444453</v>
      </c>
      <c r="C13" s="5"/>
      <c r="D13" s="5"/>
      <c r="F13" s="2"/>
    </row>
    <row r="14" spans="1:15" x14ac:dyDescent="0.25">
      <c r="A14" t="s">
        <v>16</v>
      </c>
      <c r="B14" s="6">
        <v>0.73263888888888884</v>
      </c>
      <c r="C14" s="5"/>
      <c r="D14" s="5"/>
      <c r="F14" s="2"/>
    </row>
    <row r="15" spans="1:15" x14ac:dyDescent="0.25">
      <c r="A15" t="s">
        <v>17</v>
      </c>
      <c r="B15" s="6">
        <v>4.1666666666666664E-2</v>
      </c>
      <c r="C15" s="5"/>
      <c r="D15" s="5"/>
    </row>
  </sheetData>
  <mergeCells count="8">
    <mergeCell ref="G1:O1"/>
    <mergeCell ref="C3:D3"/>
    <mergeCell ref="B15:D15"/>
    <mergeCell ref="B10:D10"/>
    <mergeCell ref="B11:D11"/>
    <mergeCell ref="B12:D12"/>
    <mergeCell ref="B13:D13"/>
    <mergeCell ref="B14:D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6</vt:i4>
      </vt:variant>
    </vt:vector>
  </HeadingPairs>
  <TitlesOfParts>
    <vt:vector size="8" baseType="lpstr">
      <vt:lpstr>Fevereiro</vt:lpstr>
      <vt:lpstr>configurações</vt:lpstr>
      <vt:lpstr>EntradaServiço</vt:lpstr>
      <vt:lpstr>opçôesFeriado</vt:lpstr>
      <vt:lpstr>saída_normal</vt:lpstr>
      <vt:lpstr>saída_sexta</vt:lpstr>
      <vt:lpstr>tempo_de_almoço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gfeli</dc:creator>
  <cp:lastModifiedBy>gfeli</cp:lastModifiedBy>
  <dcterms:created xsi:type="dcterms:W3CDTF">2021-01-27T18:07:16Z</dcterms:created>
  <dcterms:modified xsi:type="dcterms:W3CDTF">2021-01-28T23:20:25Z</dcterms:modified>
</cp:coreProperties>
</file>